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mpci\Downloads\"/>
    </mc:Choice>
  </mc:AlternateContent>
  <xr:revisionPtr revIDLastSave="0" documentId="13_ncr:1_{B4219DD4-B981-4235-AA73-390DBEFDE424}" xr6:coauthVersionLast="47" xr6:coauthVersionMax="47" xr10:uidLastSave="{00000000-0000-0000-0000-000000000000}"/>
  <bookViews>
    <workbookView xWindow="-103" yWindow="-103" windowWidth="22149" windowHeight="13200" tabRatio="500" activeTab="1" xr2:uid="{00000000-000D-0000-FFFF-FFFF00000000}"/>
  </bookViews>
  <sheets>
    <sheet name="How to rate" sheetId="1" r:id="rId1"/>
    <sheet name="EGR304-feature-ratings-ballot" sheetId="2" r:id="rId2"/>
  </sheets>
  <definedNames>
    <definedName name="_xlnm._FilterDatabase" localSheetId="1" hidden="1">'EGR304-feature-ratings-ballot'!$A$1:$N$101</definedName>
    <definedName name="_xlnm.Print_Titles" localSheetId="1">'EGR304-feature-ratings-ballot'!$1:$1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101" i="2" l="1"/>
  <c r="J101" i="2"/>
  <c r="I101" i="2"/>
  <c r="L101" i="2" s="1"/>
  <c r="K100" i="2"/>
  <c r="J100" i="2"/>
  <c r="I100" i="2"/>
  <c r="L100" i="2" s="1"/>
  <c r="K99" i="2"/>
  <c r="J99" i="2"/>
  <c r="I99" i="2"/>
  <c r="L99" i="2" s="1"/>
  <c r="K98" i="2"/>
  <c r="J98" i="2"/>
  <c r="I98" i="2"/>
  <c r="L98" i="2" s="1"/>
  <c r="K97" i="2"/>
  <c r="J97" i="2"/>
  <c r="I97" i="2"/>
  <c r="L97" i="2" s="1"/>
  <c r="K96" i="2"/>
  <c r="J96" i="2"/>
  <c r="I96" i="2"/>
  <c r="L96" i="2" s="1"/>
  <c r="K95" i="2"/>
  <c r="J95" i="2"/>
  <c r="I95" i="2"/>
  <c r="K94" i="2"/>
  <c r="J94" i="2"/>
  <c r="I94" i="2"/>
  <c r="L94" i="2" s="1"/>
  <c r="K93" i="2"/>
  <c r="J93" i="2"/>
  <c r="I93" i="2"/>
  <c r="L93" i="2" s="1"/>
  <c r="K92" i="2"/>
  <c r="J92" i="2"/>
  <c r="I92" i="2"/>
  <c r="L92" i="2" s="1"/>
  <c r="K91" i="2"/>
  <c r="J91" i="2"/>
  <c r="I91" i="2"/>
  <c r="L91" i="2" s="1"/>
  <c r="K90" i="2"/>
  <c r="J90" i="2"/>
  <c r="I90" i="2"/>
  <c r="L90" i="2" s="1"/>
  <c r="K89" i="2"/>
  <c r="J89" i="2"/>
  <c r="I89" i="2"/>
  <c r="L89" i="2" s="1"/>
  <c r="K88" i="2"/>
  <c r="J88" i="2"/>
  <c r="I88" i="2"/>
  <c r="L88" i="2" s="1"/>
  <c r="K87" i="2"/>
  <c r="J87" i="2"/>
  <c r="I87" i="2"/>
  <c r="L87" i="2" s="1"/>
  <c r="K86" i="2"/>
  <c r="J86" i="2"/>
  <c r="I86" i="2"/>
  <c r="L86" i="2" s="1"/>
  <c r="K85" i="2"/>
  <c r="J85" i="2"/>
  <c r="I85" i="2"/>
  <c r="L85" i="2" s="1"/>
  <c r="K84" i="2"/>
  <c r="J84" i="2"/>
  <c r="I84" i="2"/>
  <c r="L84" i="2" s="1"/>
  <c r="K83" i="2"/>
  <c r="J83" i="2"/>
  <c r="I83" i="2"/>
  <c r="L83" i="2" s="1"/>
  <c r="K82" i="2"/>
  <c r="J82" i="2"/>
  <c r="I82" i="2"/>
  <c r="L82" i="2" s="1"/>
  <c r="K81" i="2"/>
  <c r="J81" i="2"/>
  <c r="I81" i="2"/>
  <c r="L81" i="2" s="1"/>
  <c r="K80" i="2"/>
  <c r="J80" i="2"/>
  <c r="I80" i="2"/>
  <c r="L80" i="2" s="1"/>
  <c r="K79" i="2"/>
  <c r="J79" i="2"/>
  <c r="I79" i="2"/>
  <c r="L79" i="2" s="1"/>
  <c r="K78" i="2"/>
  <c r="J78" i="2"/>
  <c r="I78" i="2"/>
  <c r="L78" i="2" s="1"/>
  <c r="K77" i="2"/>
  <c r="J77" i="2"/>
  <c r="I77" i="2"/>
  <c r="L77" i="2" s="1"/>
  <c r="K76" i="2"/>
  <c r="J76" i="2"/>
  <c r="I76" i="2"/>
  <c r="L76" i="2" s="1"/>
  <c r="K75" i="2"/>
  <c r="J75" i="2"/>
  <c r="I75" i="2"/>
  <c r="L75" i="2" s="1"/>
  <c r="K74" i="2"/>
  <c r="J74" i="2"/>
  <c r="I74" i="2"/>
  <c r="L74" i="2" s="1"/>
  <c r="K73" i="2"/>
  <c r="J73" i="2"/>
  <c r="I73" i="2"/>
  <c r="L73" i="2" s="1"/>
  <c r="K72" i="2"/>
  <c r="J72" i="2"/>
  <c r="I72" i="2"/>
  <c r="L72" i="2" s="1"/>
  <c r="K71" i="2"/>
  <c r="J71" i="2"/>
  <c r="I71" i="2"/>
  <c r="L71" i="2" s="1"/>
  <c r="K70" i="2"/>
  <c r="J70" i="2"/>
  <c r="I70" i="2"/>
  <c r="K69" i="2"/>
  <c r="J69" i="2"/>
  <c r="I69" i="2"/>
  <c r="L69" i="2" s="1"/>
  <c r="K68" i="2"/>
  <c r="J68" i="2"/>
  <c r="I68" i="2"/>
  <c r="L68" i="2" s="1"/>
  <c r="K67" i="2"/>
  <c r="J67" i="2"/>
  <c r="I67" i="2"/>
  <c r="L67" i="2" s="1"/>
  <c r="K66" i="2"/>
  <c r="J66" i="2"/>
  <c r="I66" i="2"/>
  <c r="L66" i="2" s="1"/>
  <c r="K65" i="2"/>
  <c r="J65" i="2"/>
  <c r="I65" i="2"/>
  <c r="L65" i="2" s="1"/>
  <c r="K64" i="2"/>
  <c r="J64" i="2"/>
  <c r="I64" i="2"/>
  <c r="L64" i="2" s="1"/>
  <c r="K63" i="2"/>
  <c r="J63" i="2"/>
  <c r="I63" i="2"/>
  <c r="L63" i="2" s="1"/>
  <c r="K62" i="2"/>
  <c r="J62" i="2"/>
  <c r="I62" i="2"/>
  <c r="L62" i="2" s="1"/>
  <c r="K61" i="2"/>
  <c r="J61" i="2"/>
  <c r="I61" i="2"/>
  <c r="L61" i="2" s="1"/>
  <c r="K60" i="2"/>
  <c r="J60" i="2"/>
  <c r="I60" i="2"/>
  <c r="L60" i="2" s="1"/>
  <c r="K59" i="2"/>
  <c r="J59" i="2"/>
  <c r="I59" i="2"/>
  <c r="L59" i="2" s="1"/>
  <c r="K58" i="2"/>
  <c r="J58" i="2"/>
  <c r="I58" i="2"/>
  <c r="L58" i="2" s="1"/>
  <c r="K57" i="2"/>
  <c r="J57" i="2"/>
  <c r="I57" i="2"/>
  <c r="L57" i="2" s="1"/>
  <c r="K56" i="2"/>
  <c r="J56" i="2"/>
  <c r="I56" i="2"/>
  <c r="L56" i="2" s="1"/>
  <c r="K55" i="2"/>
  <c r="J55" i="2"/>
  <c r="I55" i="2"/>
  <c r="L55" i="2" s="1"/>
  <c r="K54" i="2"/>
  <c r="J54" i="2"/>
  <c r="I54" i="2"/>
  <c r="L54" i="2" s="1"/>
  <c r="K53" i="2"/>
  <c r="J53" i="2"/>
  <c r="I53" i="2"/>
  <c r="L53" i="2" s="1"/>
  <c r="K52" i="2"/>
  <c r="J52" i="2"/>
  <c r="I52" i="2"/>
  <c r="L52" i="2" s="1"/>
  <c r="K51" i="2"/>
  <c r="J51" i="2"/>
  <c r="I51" i="2"/>
  <c r="L51" i="2" s="1"/>
  <c r="K50" i="2"/>
  <c r="J50" i="2"/>
  <c r="I50" i="2"/>
  <c r="L50" i="2" s="1"/>
  <c r="K49" i="2"/>
  <c r="J49" i="2"/>
  <c r="I49" i="2"/>
  <c r="L49" i="2" s="1"/>
  <c r="K48" i="2"/>
  <c r="J48" i="2"/>
  <c r="I48" i="2"/>
  <c r="L48" i="2" s="1"/>
  <c r="K47" i="2"/>
  <c r="J47" i="2"/>
  <c r="I47" i="2"/>
  <c r="L47" i="2" s="1"/>
  <c r="K46" i="2"/>
  <c r="J46" i="2"/>
  <c r="I46" i="2"/>
  <c r="L46" i="2" s="1"/>
  <c r="K45" i="2"/>
  <c r="J45" i="2"/>
  <c r="I45" i="2"/>
  <c r="K44" i="2"/>
  <c r="J44" i="2"/>
  <c r="I44" i="2"/>
  <c r="L44" i="2" s="1"/>
  <c r="K43" i="2"/>
  <c r="J43" i="2"/>
  <c r="I43" i="2"/>
  <c r="L43" i="2" s="1"/>
  <c r="K42" i="2"/>
  <c r="J42" i="2"/>
  <c r="I42" i="2"/>
  <c r="L42" i="2" s="1"/>
  <c r="K41" i="2"/>
  <c r="J41" i="2"/>
  <c r="I41" i="2"/>
  <c r="L41" i="2" s="1"/>
  <c r="K40" i="2"/>
  <c r="J40" i="2"/>
  <c r="I40" i="2"/>
  <c r="L40" i="2" s="1"/>
  <c r="K39" i="2"/>
  <c r="J39" i="2"/>
  <c r="I39" i="2"/>
  <c r="L39" i="2" s="1"/>
  <c r="K38" i="2"/>
  <c r="J38" i="2"/>
  <c r="I38" i="2"/>
  <c r="L38" i="2" s="1"/>
  <c r="K37" i="2"/>
  <c r="J37" i="2"/>
  <c r="I37" i="2"/>
  <c r="L37" i="2" s="1"/>
  <c r="K36" i="2"/>
  <c r="J36" i="2"/>
  <c r="I36" i="2"/>
  <c r="L36" i="2" s="1"/>
  <c r="K35" i="2"/>
  <c r="J35" i="2"/>
  <c r="I35" i="2"/>
  <c r="L35" i="2" s="1"/>
  <c r="K34" i="2"/>
  <c r="J34" i="2"/>
  <c r="I34" i="2"/>
  <c r="L34" i="2" s="1"/>
  <c r="K33" i="2"/>
  <c r="J33" i="2"/>
  <c r="I33" i="2"/>
  <c r="K32" i="2"/>
  <c r="J32" i="2"/>
  <c r="I32" i="2"/>
  <c r="L32" i="2" s="1"/>
  <c r="K31" i="2"/>
  <c r="J31" i="2"/>
  <c r="I31" i="2"/>
  <c r="L31" i="2" s="1"/>
  <c r="K30" i="2"/>
  <c r="J30" i="2"/>
  <c r="I30" i="2"/>
  <c r="L30" i="2" s="1"/>
  <c r="K29" i="2"/>
  <c r="J29" i="2"/>
  <c r="I29" i="2"/>
  <c r="L29" i="2" s="1"/>
  <c r="K28" i="2"/>
  <c r="J28" i="2"/>
  <c r="I28" i="2"/>
  <c r="L28" i="2" s="1"/>
  <c r="K27" i="2"/>
  <c r="J27" i="2"/>
  <c r="I27" i="2"/>
  <c r="L27" i="2" s="1"/>
  <c r="K26" i="2"/>
  <c r="J26" i="2"/>
  <c r="I26" i="2"/>
  <c r="K25" i="2"/>
  <c r="J25" i="2"/>
  <c r="I25" i="2"/>
  <c r="L25" i="2" s="1"/>
  <c r="K24" i="2"/>
  <c r="J24" i="2"/>
  <c r="I24" i="2"/>
  <c r="L24" i="2" s="1"/>
  <c r="K23" i="2"/>
  <c r="J23" i="2"/>
  <c r="I23" i="2"/>
  <c r="L23" i="2" s="1"/>
  <c r="K22" i="2"/>
  <c r="J22" i="2"/>
  <c r="I22" i="2"/>
  <c r="L22" i="2" s="1"/>
  <c r="K21" i="2"/>
  <c r="J21" i="2"/>
  <c r="I21" i="2"/>
  <c r="L21" i="2" s="1"/>
  <c r="K20" i="2"/>
  <c r="J20" i="2"/>
  <c r="I20" i="2"/>
  <c r="L20" i="2" s="1"/>
  <c r="K19" i="2"/>
  <c r="J19" i="2"/>
  <c r="I19" i="2"/>
  <c r="L19" i="2" s="1"/>
  <c r="K18" i="2"/>
  <c r="J18" i="2"/>
  <c r="I18" i="2"/>
  <c r="L18" i="2" s="1"/>
  <c r="K17" i="2"/>
  <c r="J17" i="2"/>
  <c r="I17" i="2"/>
  <c r="L17" i="2" s="1"/>
  <c r="K16" i="2"/>
  <c r="J16" i="2"/>
  <c r="I16" i="2"/>
  <c r="L16" i="2" s="1"/>
  <c r="K15" i="2"/>
  <c r="J15" i="2"/>
  <c r="I15" i="2"/>
  <c r="L15" i="2" s="1"/>
  <c r="K14" i="2"/>
  <c r="J14" i="2"/>
  <c r="I14" i="2"/>
  <c r="L14" i="2" s="1"/>
  <c r="K13" i="2"/>
  <c r="J13" i="2"/>
  <c r="I13" i="2"/>
  <c r="L13" i="2" s="1"/>
  <c r="K12" i="2"/>
  <c r="J12" i="2"/>
  <c r="I12" i="2"/>
  <c r="L12" i="2" s="1"/>
  <c r="K11" i="2"/>
  <c r="J11" i="2"/>
  <c r="I11" i="2"/>
  <c r="L11" i="2" s="1"/>
  <c r="K10" i="2"/>
  <c r="J10" i="2"/>
  <c r="I10" i="2"/>
  <c r="L10" i="2" s="1"/>
  <c r="K9" i="2"/>
  <c r="J9" i="2"/>
  <c r="I9" i="2"/>
  <c r="L9" i="2" s="1"/>
  <c r="K8" i="2"/>
  <c r="J8" i="2"/>
  <c r="I8" i="2"/>
  <c r="K7" i="2"/>
  <c r="J7" i="2"/>
  <c r="I7" i="2"/>
  <c r="L7" i="2" s="1"/>
  <c r="K6" i="2"/>
  <c r="J6" i="2"/>
  <c r="I6" i="2"/>
  <c r="L6" i="2" s="1"/>
  <c r="K5" i="2"/>
  <c r="J5" i="2"/>
  <c r="I5" i="2"/>
  <c r="L5" i="2" s="1"/>
  <c r="K4" i="2"/>
  <c r="J4" i="2"/>
  <c r="I4" i="2"/>
  <c r="L4" i="2" s="1"/>
  <c r="K3" i="2"/>
  <c r="J3" i="2"/>
  <c r="I3" i="2"/>
  <c r="L3" i="2" s="1"/>
  <c r="K2" i="2"/>
  <c r="J2" i="2"/>
  <c r="I2" i="2"/>
  <c r="L2" i="2" s="1"/>
  <c r="L33" i="2" l="1"/>
  <c r="L45" i="2"/>
  <c r="L95" i="2"/>
  <c r="L8" i="2"/>
  <c r="L26" i="2"/>
  <c r="L7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1" authorId="0" shapeId="0" xr:uid="{00000000-0006-0000-0100-000001000000}">
      <text>
        <r>
          <rPr>
            <sz val="10"/>
            <rFont val="Arial"/>
            <family val="2"/>
          </rPr>
          <t>Rate independently. Do not look at the other rater's column until you have finished all 100.</t>
        </r>
      </text>
    </comment>
    <comment ref="K1" authorId="0" shapeId="0" xr:uid="{00000000-0006-0000-0100-000002000000}">
      <text>
        <r>
          <rPr>
            <sz val="10"/>
            <rFont val="Arial"/>
            <family val="2"/>
          </rPr>
          <t>Difference between the two ratings. 2 or more is highlighted red: discuss it and record the resolution in Notes.</t>
        </r>
      </text>
    </comment>
    <comment ref="M1" authorId="0" shapeId="0" xr:uid="{00000000-0006-0000-0100-000003000000}">
      <text>
        <r>
          <rPr>
            <sz val="10"/>
            <rFont val="Arial"/>
            <family val="2"/>
          </rPr>
          <t>Group ID (G1, G2, ...) from §4.1, filled in by Duotao. Filter by group, then sort by Average to find each group's top feature.</t>
        </r>
      </text>
    </comment>
  </commentList>
</comments>
</file>

<file path=xl/sharedStrings.xml><?xml version="1.0" encoding="utf-8"?>
<sst xmlns="http://schemas.openxmlformats.org/spreadsheetml/2006/main" count="1064" uniqueCount="386">
  <si>
    <t>How to rate the brainstormed features</t>
  </si>
  <si>
    <t>Who rates</t>
  </si>
  <si>
    <t>Zice and Duotao, each independently, every one of the 100 features.</t>
  </si>
  <si>
    <t>Where to type</t>
  </si>
  <si>
    <t>Yellow cells only: your own rating column (G or H), and Group / Notes when needed. Every other column is filled in or calculated automatically.</t>
  </si>
  <si>
    <t>Method</t>
  </si>
  <si>
    <t>Same as the User Needs rating: one 1-5 score per rater, averaged across raters. Features are then ranked by the average.</t>
  </si>
  <si>
    <t>What to consider</t>
  </si>
  <si>
    <t>How well the feature satisfies its prompt, whether our team could realistically build it this semester, and its cost and complexity. Weigh all three into one score.</t>
  </si>
  <si>
    <t>Score</t>
  </si>
  <si>
    <t>Meaning</t>
  </si>
  <si>
    <t>Strong candidate: should be in the final design</t>
  </si>
  <si>
    <t>Good: likely to be included in at least one concept</t>
  </si>
  <si>
    <t>Acceptable: possible, but other options are better or equal</t>
  </si>
  <si>
    <t>Weak: significant drawbacks in fit, feasibility or cost</t>
  </si>
  <si>
    <t>Not worth pursuing this semester</t>
  </si>
  <si>
    <t>Initial ratings</t>
  </si>
  <si>
    <t>The ratings in both columns were first drafted with AI assistance (Claude), with Duotao's agreement, and are to be reviewed and adjusted by each rater. This must be stated in the AI Use Disclosure on the report page.</t>
  </si>
  <si>
    <t>Spread flag</t>
  </si>
  <si>
    <t>Where the two ratings differ by 2 or more points, the Spread cell turns red. Discuss those features together and write the agreed reason in Notes (same process as the User Needs rating).</t>
  </si>
  <si>
    <t>Example</t>
  </si>
  <si>
    <t>F-000 (illustration only): Zice 4, Duotao 2 -&gt; Average 3.00, Ratings in 2, Spread 2 (red) -&gt; discuss and record the resolution in Notes.</t>
  </si>
  <si>
    <t>After rating</t>
  </si>
  <si>
    <t>Sort the ballot by Rank to get the top features for Table 6 in §4.2; filter by Group to mark the top feature of each group in §4.1. Export the finished table as an image into docs/Appendix/ — the page must not just link to this file.</t>
  </si>
  <si>
    <t>#</t>
  </si>
  <si>
    <t>ID</t>
  </si>
  <si>
    <t>Req ID</t>
  </si>
  <si>
    <t>Prompt</t>
  </si>
  <si>
    <t>Feature</t>
  </si>
  <si>
    <t>Detail</t>
  </si>
  <si>
    <t>Zice (1-5)</t>
  </si>
  <si>
    <t>Duotao (1-5)</t>
  </si>
  <si>
    <t>Average</t>
  </si>
  <si>
    <t>Ratings in</t>
  </si>
  <si>
    <t>Spread</t>
  </si>
  <si>
    <t>Rank</t>
  </si>
  <si>
    <t>Group</t>
  </si>
  <si>
    <t>Notes</t>
  </si>
  <si>
    <t>F-001</t>
  </si>
  <si>
    <t>SF-02</t>
  </si>
  <si>
    <t>Resistance can be released by hand without power</t>
  </si>
  <si>
    <t>Quick-release cam lever</t>
  </si>
  <si>
    <t>Flipping a lever on the side lets the spring go slack, so the resistance drops right away</t>
  </si>
  <si>
    <t>F-002</t>
  </si>
  <si>
    <t>Pull-out safety pin</t>
  </si>
  <si>
    <t>Pulling a pin out of the handle disconnects the spring, so the handles open freely</t>
  </si>
  <si>
    <t>F-003</t>
  </si>
  <si>
    <t>Release button</t>
  </si>
  <si>
    <t>Pressing a large button separates the motor from the spring, so the handle can be opened by hand</t>
  </si>
  <si>
    <t>F-004</t>
  </si>
  <si>
    <t>Return to lowest setting on power loss</t>
  </si>
  <si>
    <t>If the power goes out, the mechanism moves back to its easiest setting on its own</t>
  </si>
  <si>
    <t>F-005</t>
  </si>
  <si>
    <t>Snap-off handle</t>
  </si>
  <si>
    <t>A firm pull pops the grip handle off the body, freeing the hand immediately</t>
  </si>
  <si>
    <t>F-006</t>
  </si>
  <si>
    <t>SF-01</t>
  </si>
  <si>
    <t>Resistance never exceeds the authorized maximum</t>
  </si>
  <si>
    <t>Mechanical end stop</t>
  </si>
  <si>
    <t>A physical stop inside the housing keeps the spring from being tightened past the prescribed limit</t>
  </si>
  <si>
    <t>F-007</t>
  </si>
  <si>
    <t>Software resistance limit</t>
  </si>
  <si>
    <t>The controller refuses any setting above the maximum the therapist entered</t>
  </si>
  <si>
    <t>F-008</t>
  </si>
  <si>
    <t>Automatic back-off</t>
  </si>
  <si>
    <t>If the squeeze force goes over the limit, the motor eases the resistance off on its own</t>
  </si>
  <si>
    <t>F-009</t>
  </si>
  <si>
    <t>Slip clutch</t>
  </si>
  <si>
    <t>A clutch slips when the load gets too high, so the extra force never reaches the hand</t>
  </si>
  <si>
    <t>F-010</t>
  </si>
  <si>
    <t>Therapist-only unlock</t>
  </si>
  <si>
    <t>Raising the maximum needs the therapist's code, so the patient can only choose lower settings</t>
  </si>
  <si>
    <t>F-011</t>
  </si>
  <si>
    <t>SF-04</t>
  </si>
  <si>
    <t>Skin-contact surfaces are safe and cleanable</t>
  </si>
  <si>
    <t>Removable grip sleeves</t>
  </si>
  <si>
    <t>Soft sleeves slide off the handles so they can be washed or replaced for each patient</t>
  </si>
  <si>
    <t>F-012</t>
  </si>
  <si>
    <t>Seamless handle</t>
  </si>
  <si>
    <t>The handle has no gaps or seams, so it can be wiped clean with disinfectant</t>
  </si>
  <si>
    <t>F-013</t>
  </si>
  <si>
    <t>Antimicrobial handle material</t>
  </si>
  <si>
    <t>The handle is made from a plastic that resists germ growth</t>
  </si>
  <si>
    <t>F-014</t>
  </si>
  <si>
    <t>Disposable grip covers</t>
  </si>
  <si>
    <t>Single-use covers slip over the handles and are thrown away between patients</t>
  </si>
  <si>
    <t>F-015</t>
  </si>
  <si>
    <t>UV cleaning case</t>
  </si>
  <si>
    <t>The storage case shines UV light on the handles while the device is put away</t>
  </si>
  <si>
    <t>F-016</t>
  </si>
  <si>
    <t>SW-06</t>
  </si>
  <si>
    <t>Grip force is measured accurately</t>
  </si>
  <si>
    <t>Force sensor between the handles</t>
  </si>
  <si>
    <t>A sensor placed where the two handles meet measures the squeeze force directly</t>
  </si>
  <si>
    <t>F-017</t>
  </si>
  <si>
    <t>Spring compression reading</t>
  </si>
  <si>
    <t>The device measures how far the spring is squeezed and turns that distance into a force</t>
  </si>
  <si>
    <t>F-018</t>
  </si>
  <si>
    <t>Air-filled squeeze bulb</t>
  </si>
  <si>
    <t>The patient squeezes a sealed bulb, and the air pressure inside is turned into a force reading</t>
  </si>
  <si>
    <t>F-019</t>
  </si>
  <si>
    <t>Motor effort estimate</t>
  </si>
  <si>
    <t>Force is estimated from how hard the motor has to work to hold the handle in place</t>
  </si>
  <si>
    <t>F-020</t>
  </si>
  <si>
    <t>Per-finger pressure pads</t>
  </si>
  <si>
    <t>Thin pads under each finger report how hard each finger presses, as well as the total</t>
  </si>
  <si>
    <t>F-021</t>
  </si>
  <si>
    <t>SW-04</t>
  </si>
  <si>
    <t>Repetitions are counted automatically</t>
  </si>
  <si>
    <t>Force threshold counting</t>
  </si>
  <si>
    <t>A repetition is counted each time the squeeze force rises above a set level and falls back</t>
  </si>
  <si>
    <t>F-022</t>
  </si>
  <si>
    <t>Closed-handle switch</t>
  </si>
  <si>
    <t>A switch clicks each time the handle is squeezed fully closed</t>
  </si>
  <si>
    <t>F-023</t>
  </si>
  <si>
    <t>Motion sensor</t>
  </si>
  <si>
    <t>A motion sensor in the handle recognizes the squeeze-and-release pattern</t>
  </si>
  <si>
    <t>F-024</t>
  </si>
  <si>
    <t>Light-beam sensor</t>
  </si>
  <si>
    <t>A light beam across the handle gap is broken each time the hand closes</t>
  </si>
  <si>
    <t>F-025</t>
  </si>
  <si>
    <t>Phone camera counting</t>
  </si>
  <si>
    <t>A phone app watches the hand through the camera and counts each squeeze</t>
  </si>
  <si>
    <t>F-026</t>
  </si>
  <si>
    <t>MF-03</t>
  </si>
  <si>
    <t>Force sensing calibrates with known loads</t>
  </si>
  <si>
    <t>Calibration weight hook</t>
  </si>
  <si>
    <t>A hook lets a standard weight hang from the handle so the reading can be checked</t>
  </si>
  <si>
    <t>F-027</t>
  </si>
  <si>
    <t>Guided calibration mode</t>
  </si>
  <si>
    <t>A menu mode walks the technician through an empty step and a known-weight step</t>
  </si>
  <si>
    <t>F-028</t>
  </si>
  <si>
    <t>Reference spring check</t>
  </si>
  <si>
    <t>A spring of known stiffness is squeezed and the reading is compared with the force it should give</t>
  </si>
  <si>
    <t>F-029</t>
  </si>
  <si>
    <t>Calibration dock</t>
  </si>
  <si>
    <t>A dock presses the handle with a known force and corrects the reading automatically</t>
  </si>
  <si>
    <t>F-030</t>
  </si>
  <si>
    <t>Automatic zero at startup</t>
  </si>
  <si>
    <t>The reading resets to zero each time the device turns on with no one holding it</t>
  </si>
  <si>
    <t>F-031</t>
  </si>
  <si>
    <t>MF-02</t>
  </si>
  <si>
    <t>Sensing and motor signals can be probed</t>
  </si>
  <si>
    <t>Labeled test points</t>
  </si>
  <si>
    <t>Marked metal pads on the circuit board where a meter probe can be clipped on</t>
  </si>
  <si>
    <t>F-032</t>
  </si>
  <si>
    <t>Removable service cover</t>
  </si>
  <si>
    <t>A panel unscrews to reach the circuit board without taking the whole device apart</t>
  </si>
  <si>
    <t>F-033</t>
  </si>
  <si>
    <t>External test connector</t>
  </si>
  <si>
    <t>One plug on the outside brings out the key signals for testing</t>
  </si>
  <si>
    <t>F-034</t>
  </si>
  <si>
    <t>Live readings to a computer</t>
  </si>
  <si>
    <t>The device sends its readings to a computer over a cable while it runs</t>
  </si>
  <si>
    <t>F-035</t>
  </si>
  <si>
    <t>Status lights</t>
  </si>
  <si>
    <t>Small lights show whether the sensor and motor are working, visible without any tools</t>
  </si>
  <si>
    <t>F-036</t>
  </si>
  <si>
    <t>SW-01</t>
  </si>
  <si>
    <t>Resistance follows the prescription automatically</t>
  </si>
  <si>
    <t>Motor-driven spring preload</t>
  </si>
  <si>
    <t>A gear motor turns a lead screw that compresses the return spring, so resistance changes with spring preload</t>
  </si>
  <si>
    <t>F-037</t>
  </si>
  <si>
    <t>Magnetorheological brake</t>
  </si>
  <si>
    <t>A fluid brake whose resistance changes with coil current, giving smooth resistance with no moving preload mechanism</t>
  </si>
  <si>
    <t>F-038</t>
  </si>
  <si>
    <t>Motor-adjusted elastic tension</t>
  </si>
  <si>
    <t>A motor changes the stretch of an elastic resistance element automatically to match the therapist's prescribed resistance</t>
  </si>
  <si>
    <t>F-039</t>
  </si>
  <si>
    <t>Servo-positioned resistance lever</t>
  </si>
  <si>
    <t>A servo moves the attachment point of the resistance mechanism to automatically increase or decrease mechanical resistance</t>
  </si>
  <si>
    <t>F-040</t>
  </si>
  <si>
    <t>Electromagnetic resistance system</t>
  </si>
  <si>
    <t>An electromagnet changes opposing force electronically so the controller can automatically apply the prescribed resistance level</t>
  </si>
  <si>
    <t>F-041</t>
  </si>
  <si>
    <t>HW-01</t>
  </si>
  <si>
    <t>Grip span fits 5th–95th percentile hands</t>
  </si>
  <si>
    <t>Sliding adjustable handle</t>
  </si>
  <si>
    <t>One grip slides along a guided track so the distance between handles can be adjusted for different hand sizes</t>
  </si>
  <si>
    <t>F-042</t>
  </si>
  <si>
    <t>Multi-position locking grip</t>
  </si>
  <si>
    <t>The handle locks into several predefined positions covering a range of hand sizes</t>
  </si>
  <si>
    <t>F-043</t>
  </si>
  <si>
    <t>Threaded grip-span adjustment</t>
  </si>
  <si>
    <t>A screw mechanism moves the handle inward or outward to provide fine adjustment of grip span</t>
  </si>
  <si>
    <t>F-044</t>
  </si>
  <si>
    <t>Interchangeable grip inserts</t>
  </si>
  <si>
    <t>Different-sized grip inserts change the effective handle size to accommodate different users</t>
  </si>
  <si>
    <t>F-045</t>
  </si>
  <si>
    <t>Self-adjusting grip</t>
  </si>
  <si>
    <t>A spring-loaded sliding grip automatically conforms to the user's hand span within its allowable range</t>
  </si>
  <si>
    <t>F-046</t>
  </si>
  <si>
    <t>HW-05</t>
  </si>
  <si>
    <t>Moving parts cannot pinch the user</t>
  </si>
  <si>
    <t>Enclosed moving mechanism</t>
  </si>
  <si>
    <t>A protective housing surrounds gears, springs and linkages so fingers cannot reach moving components</t>
  </si>
  <si>
    <t>F-047</t>
  </si>
  <si>
    <t>Flexible joint guards</t>
  </si>
  <si>
    <t>Flexible covers close gaps around moving joints while still allowing the mechanism to move</t>
  </si>
  <si>
    <t>F-048</t>
  </si>
  <si>
    <t>Minimum-gap mechanical stops</t>
  </si>
  <si>
    <t>Mechanical stops prevent moving surfaces from closing far enough to create a finger pinch point</t>
  </si>
  <si>
    <t>F-049</t>
  </si>
  <si>
    <t>Internal linkage system</t>
  </si>
  <si>
    <t>Linkages and pivot points are placed inside the housing rather than near the user's hand</t>
  </si>
  <si>
    <t>F-050</t>
  </si>
  <si>
    <t>Pinch-detection cutoff</t>
  </si>
  <si>
    <t>A sensor detects unexpected resistance near a moving mechanism and immediately stops its motion</t>
  </si>
  <si>
    <t>F-051</t>
  </si>
  <si>
    <t>HW-03</t>
  </si>
  <si>
    <t>Carried in one hand, no installation</t>
  </si>
  <si>
    <t>Integrated carrying handle</t>
  </si>
  <si>
    <t>A handle built into the housing allows the entire device to be carried comfortably with one hand</t>
  </si>
  <si>
    <t>F-052</t>
  </si>
  <si>
    <t>Compact tabletop enclosure</t>
  </si>
  <si>
    <t>All mechanical and electronic components fit inside one compact housing that can be placed directly on a table</t>
  </si>
  <si>
    <t>F-053</t>
  </si>
  <si>
    <t>Rechargeable battery power</t>
  </si>
  <si>
    <t>An internal rechargeable battery allows operation without requiring a permanent power connection</t>
  </si>
  <si>
    <t>F-054</t>
  </si>
  <si>
    <t>Foldable grip assembly</t>
  </si>
  <si>
    <t>The grip mechanism folds into the housing to reduce the device's size during transportation</t>
  </si>
  <si>
    <t>F-055</t>
  </si>
  <si>
    <t>Non-slip freestanding base</t>
  </si>
  <si>
    <t>Rubber feet stabilize the device during use without clamps, screws or permanent installation</t>
  </si>
  <si>
    <t>F-056</t>
  </si>
  <si>
    <t>MF-05</t>
  </si>
  <si>
    <t>Unit cost supports individual ownership</t>
  </si>
  <si>
    <t>Injection-moldable housing</t>
  </si>
  <si>
    <t>The enclosure uses simple molded plastic parts suitable for inexpensive high-volume manufacturing</t>
  </si>
  <si>
    <t>F-057</t>
  </si>
  <si>
    <t>Standard off-the-shelf motor</t>
  </si>
  <si>
    <t>A commonly available motor reduces cost compared with a custom actuator</t>
  </si>
  <si>
    <t>F-058</t>
  </si>
  <si>
    <t>Single-controller architecture</t>
  </si>
  <si>
    <t>One microcontroller handles sensing, control and data functions to reduce electronic component count</t>
  </si>
  <si>
    <t>F-059</t>
  </si>
  <si>
    <t>Shared mechanical components</t>
  </si>
  <si>
    <t>Identical fasteners, bearings and other repeated components reduce the number of unique parts required</t>
  </si>
  <si>
    <t>F-060</t>
  </si>
  <si>
    <t>Modular optional features</t>
  </si>
  <si>
    <t>The base device includes essential rehabilitation functions while more expensive capabilities can be added as optional modules</t>
  </si>
  <si>
    <t>F-061</t>
  </si>
  <si>
    <t>SW-03</t>
  </si>
  <si>
    <t>Session data survives power loss</t>
  </si>
  <si>
    <t>EEPROM session storage</t>
  </si>
  <si>
    <t>Session results are saved to nonvolatile EEPROM so they remain available after power is removed</t>
  </si>
  <si>
    <t>F-062</t>
  </si>
  <si>
    <t>MicroSD data storage</t>
  </si>
  <si>
    <t>Each completed session is written to a removable microSD card that retains information without power</t>
  </si>
  <si>
    <t>F-063</t>
  </si>
  <si>
    <t>Flash memory autosave</t>
  </si>
  <si>
    <t>The controller automatically saves session progress to internal flash memory during training</t>
  </si>
  <si>
    <t>F-064</t>
  </si>
  <si>
    <t>Backup capacitor save</t>
  </si>
  <si>
    <t>Stored electrical energy gives the controller enough time to save the active session when power is suddenly lost</t>
  </si>
  <si>
    <t>F-065</t>
  </si>
  <si>
    <t>Incremental session logging</t>
  </si>
  <si>
    <t>Exercise results are saved after each repetition instead of waiting until the entire session is completed</t>
  </si>
  <si>
    <t>F-066</t>
  </si>
  <si>
    <t>SW-05</t>
  </si>
  <si>
    <t>Records export without custom software</t>
  </si>
  <si>
    <t>USB CSV export</t>
  </si>
  <si>
    <t>Connecting the device by USB provides session records as standard CSV files readable by common spreadsheet programs</t>
  </si>
  <si>
    <t>F-067</t>
  </si>
  <si>
    <t>Removable microSD export</t>
  </si>
  <si>
    <t>Session files are stored on a microSD card that can be inserted directly into a computer</t>
  </si>
  <si>
    <t>F-068</t>
  </si>
  <si>
    <t>USB mass-storage mode</t>
  </si>
  <si>
    <t>The device appears as a standard flash drive when connected to a computer so records can be copied directly</t>
  </si>
  <si>
    <t>F-069</t>
  </si>
  <si>
    <t>QR-code session export</t>
  </si>
  <si>
    <t>The display generates a QR code containing a session summary that can be scanned with a phone</t>
  </si>
  <si>
    <t>F-070</t>
  </si>
  <si>
    <t>Bluetooth standard-file transfer</t>
  </si>
  <si>
    <t>The device transfers standard session files to a phone or computer using Bluetooth without requiring custom desktop software</t>
  </si>
  <si>
    <t>F-071</t>
  </si>
  <si>
    <t>UX-01</t>
  </si>
  <si>
    <t>Session starts in ≤ 3 operations</t>
  </si>
  <si>
    <t>Single start button</t>
  </si>
  <si>
    <t>Press a large button and you can continue the training as prescribed last time.</t>
  </si>
  <si>
    <t>F-072</t>
  </si>
  <si>
    <t>Patient ID card tap</t>
  </si>
  <si>
    <t>After swiping the NFC card, the device automatically loads the patient's file and training prescription.</t>
  </si>
  <si>
    <t>F-073</t>
  </si>
  <si>
    <t>Qr coded patient card</t>
  </si>
  <si>
    <t>Scan the QR code on the card to load the patient's training plan.</t>
  </si>
  <si>
    <t>F-074</t>
  </si>
  <si>
    <t>Paired mobile phone recognition</t>
  </si>
  <si>
    <t>The device recognizes the paired mobile phone, and the patient can start training with one click.</t>
  </si>
  <si>
    <t>F-075</t>
  </si>
  <si>
    <t>Magnetic profile token</t>
  </si>
  <si>
    <t>Insert the exclusive identification plate, select the patient file, and then press the Start button.</t>
  </si>
  <si>
    <t>F-076</t>
  </si>
  <si>
    <t>CU-01</t>
  </si>
  <si>
    <t>Therapist sets resistance and repetition target</t>
  </si>
  <si>
    <t>Password-protected therapist menu</t>
  </si>
  <si>
    <t>After the therapist enters the password, they set the resistance and target number of repetitions for the designated patient.</t>
  </si>
  <si>
    <t>F-077</t>
  </si>
  <si>
    <t>USB prescription editor</t>
  </si>
  <si>
    <t>The therapist connects the device to the computer to save the resistance and the target number of repetitions.</t>
  </si>
  <si>
    <t>F-078</t>
  </si>
  <si>
    <t>Therapist configuration Card</t>
  </si>
  <si>
    <t>The authenticated NFC card transmits the parameters set by the therapist to the device.</t>
  </si>
  <si>
    <t>F-079</t>
  </si>
  <si>
    <t>Detachable setting keyboard</t>
  </si>
  <si>
    <t>The therapist connects the keyboard to input the parameters. After setting them up, the keyboard is removed.</t>
  </si>
  <si>
    <t>F-080</t>
  </si>
  <si>
    <t>A key-controlled knob</t>
  </si>
  <si>
    <t>The therapist unlocks the knob with a key and then adjusts the resistance and the target number of repetitions.</t>
  </si>
  <si>
    <t>F-081</t>
  </si>
  <si>
    <t>CU-03</t>
  </si>
  <si>
    <t>Resistance adapts to measured performance</t>
  </si>
  <si>
    <t>Peak grip strength threshold rule</t>
  </si>
  <si>
    <t>If the measured peak grip strength differs from the set value by more than 10%, the equipment should be adjusted within the range specified by the therapist in the next training session.</t>
  </si>
  <si>
    <t>F-082</t>
  </si>
  <si>
    <t>Two-direction progression</t>
  </si>
  <si>
    <t>When the grip strength is too high or too low, increase or decrease the resistance as prescribed in the next training session.</t>
  </si>
  <si>
    <t>F-083</t>
  </si>
  <si>
    <t>Patient-exclusive advanced table</t>
  </si>
  <si>
    <t>Therapists preset different resistance adjustment magnitudes for different rehabilitation stages.</t>
  </si>
  <si>
    <t>F-084</t>
  </si>
  <si>
    <t>Adjust according to the training trend</t>
  </si>
  <si>
    <t>Refer to the recent training results of the equipment to select a more stable adjustment range for the next training.</t>
  </si>
  <si>
    <t>F-085</t>
  </si>
  <si>
    <t>Pre-approved advanced rules</t>
  </si>
  <si>
    <t>The therapist pre-approves the adjustment rules. When the measured grip strength meets the conditions, the device will automatically execute.</t>
  </si>
  <si>
    <t>F-086</t>
  </si>
  <si>
    <t>UX-03</t>
  </si>
  <si>
    <t>Resistance and repetition progress are visible</t>
  </si>
  <si>
    <t>Three-field OLED dashboard</t>
  </si>
  <si>
    <t>The screen is divided into three columns, simultaneously displaying resistance, completed times and target times.</t>
  </si>
  <si>
    <t>F-087</t>
  </si>
  <si>
    <t>Segmented LCD panel</t>
  </si>
  <si>
    <t>Three fixed number areas make the three items of data in training always visible.</t>
  </si>
  <si>
    <t>F-088</t>
  </si>
  <si>
    <t>Large-print e-paper panel</t>
  </si>
  <si>
    <t>Display three sets of data in large characters and high contrast, and update the number of times each action is completed</t>
  </si>
  <si>
    <t>F-089</t>
  </si>
  <si>
    <t>Three independent digital displays</t>
  </si>
  <si>
    <t>Three named displays each show a piece of training data.</t>
  </si>
  <si>
    <t>F-090</t>
  </si>
  <si>
    <t>Color TFT information screen</t>
  </si>
  <si>
    <t>The color screen delineates a fixed area and simultaneously displays three types of data.</t>
  </si>
  <si>
    <t>F-091</t>
  </si>
  <si>
    <t>UX-04</t>
  </si>
  <si>
    <t>Operable with weak or stiff hands</t>
  </si>
  <si>
    <t>Large low-force key</t>
  </si>
  <si>
    <t>The patient can start or pause the training by pressing the wide button with a very small force.</t>
  </si>
  <si>
    <t>F-092</t>
  </si>
  <si>
    <t>Capacitive touch area</t>
  </si>
  <si>
    <t>It can be operated by simply touching the larger sensing area, without the need to press hard.</t>
  </si>
  <si>
    <t>F-093</t>
  </si>
  <si>
    <t>voice activation</t>
  </si>
  <si>
    <t>Patients can operate by giving simple commands without pressing buttons.</t>
  </si>
  <si>
    <t>F-094</t>
  </si>
  <si>
    <t>Optional foot switch</t>
  </si>
  <si>
    <t>Patients can start or stop using the foot switch without having to use the hand being trained.</t>
  </si>
  <si>
    <t>F-095</t>
  </si>
  <si>
    <t>Palm-operated rocker</t>
  </si>
  <si>
    <t>The patient pushes the wide control keys with the palm of their hand, without having to use a single finger flexibly.</t>
  </si>
  <si>
    <t>F-096</t>
  </si>
  <si>
    <t>UX-05</t>
  </si>
  <si>
    <t>Patient is notified when the target is reached</t>
  </si>
  <si>
    <t>piezoelectric buzzer</t>
  </si>
  <si>
    <t>When the last action is recorded, the buzzer emits a prompt sound.</t>
  </si>
  <si>
    <t>F-097</t>
  </si>
  <si>
    <t>Voice completion message</t>
  </si>
  <si>
    <t>The built-in speaker tells the patient by voice that the goal has been achieved.</t>
  </si>
  <si>
    <t>F-098</t>
  </si>
  <si>
    <t>Exclusive completion prompt tone</t>
  </si>
  <si>
    <t>The device plays a sound different from other alarms to let the patient know that the training is complete.</t>
  </si>
  <si>
    <t>F-099</t>
  </si>
  <si>
    <t>Electromechanical chime</t>
  </si>
  <si>
    <t>When the target number of times is reached, the small machine's electric bell makes a sound.</t>
  </si>
  <si>
    <t>F-100</t>
  </si>
  <si>
    <t>Shell sound-emitting transducer</t>
  </si>
  <si>
    <t>The transducer drives the equipment housing to emit a completion prompt sound.</t>
  </si>
  <si>
    <t>Too inconsistent, removed</t>
    <phoneticPr fontId="6" type="noConversion"/>
  </si>
  <si>
    <t>Impractical with current battery technology</t>
    <phoneticPr fontId="6" type="noConversion"/>
  </si>
  <si>
    <t>Not sure about actual hardware yet</t>
    <phoneticPr fontId="6" type="noConversion"/>
  </si>
  <si>
    <t>Pressing buttons might interfere with the exercise process</t>
    <phoneticPr fontId="6" type="noConversion"/>
  </si>
  <si>
    <t>Being trained tistohout having to use the hand usrfere with the exeriise switch without oionalav</t>
  </si>
  <si>
    <t>Finger flexibly oiwihm of their hand, without having to use a single  crfere with the exermise fomth</t>
  </si>
  <si>
    <t xml:space="preserve">Prompt sound   is rotified whenoron isitti is notified when txtiz  promtargzoelectrict </t>
  </si>
  <si>
    <t>Been achieved t tellotified whenthe goal has ther tells the patient byitti is notified when txtic  voice that the targceoa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</si>
</sst>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4"/>
      <name val="Arial"/>
      <charset val="1"/>
    </font>
    <font>
      <sz val="11"/>
      <name val="Arial"/>
      <charset val="1"/>
    </font>
    <font>
      <b/>
      <sz val="11"/>
      <name val="Arial"/>
      <charset val="1"/>
    </font>
    <font>
      <sz val="10"/>
      <name val="Arial"/>
      <family val="2"/>
    </font>
    <font>
      <sz val="11"/>
      <name val="Arial"/>
      <family val="2"/>
    </font>
    <font>
      <sz val="9"/>
      <name val="宋体"/>
      <family val="3"/>
      <charset val="134"/>
    </font>
  </fonts>
  <fills count="4">
    <fill>
      <patternFill patternType="none"/>
    </fill>
    <fill>
      <patternFill patternType="gray125"/>
    </fill>
    <fill>
      <patternFill patternType="solid">
        <fgColor rgb="FFD9E1F2"/>
        <bgColor rgb="FFCCFFFF"/>
      </patternFill>
    </fill>
    <fill>
      <patternFill patternType="solid">
        <fgColor rgb="FFFFF2CC"/>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2" borderId="0" xfId="0" applyFont="1" applyFill="1" applyAlignment="1">
      <alignment vertical="top" wrapText="1"/>
    </xf>
    <xf numFmtId="0" fontId="2" fillId="0" borderId="0" xfId="0" applyFont="1" applyAlignment="1">
      <alignment horizontal="center" vertical="top"/>
    </xf>
    <xf numFmtId="0" fontId="3"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3" borderId="1" xfId="0" applyFont="1" applyFill="1" applyBorder="1" applyAlignment="1">
      <alignment horizontal="center" vertical="top"/>
    </xf>
    <xf numFmtId="2" fontId="2" fillId="0" borderId="1" xfId="0" applyNumberFormat="1" applyFont="1" applyBorder="1" applyAlignment="1">
      <alignment horizontal="center" vertical="top"/>
    </xf>
    <xf numFmtId="0" fontId="2" fillId="3"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1">
    <dxf>
      <font>
        <b/>
        <color rgb="FF9C0006"/>
        <name val="Arial"/>
        <charset val="1"/>
      </font>
      <fill>
        <patternFill>
          <bgColor rgb="FFFF999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99"/>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8"/>
  <sheetViews>
    <sheetView zoomScaleNormal="100" workbookViewId="0"/>
  </sheetViews>
  <sheetFormatPr defaultColWidth="8.69140625" defaultRowHeight="14.6" x14ac:dyDescent="0.4"/>
  <cols>
    <col min="1" max="1" width="18" customWidth="1"/>
    <col min="2" max="2" width="95" customWidth="1"/>
  </cols>
  <sheetData>
    <row r="1" spans="1:2" ht="17.399999999999999" customHeight="1" x14ac:dyDescent="0.4">
      <c r="A1" s="1" t="s">
        <v>0</v>
      </c>
      <c r="B1" s="1"/>
    </row>
    <row r="2" spans="1:2" x14ac:dyDescent="0.4">
      <c r="A2" s="2"/>
      <c r="B2" s="2"/>
    </row>
    <row r="3" spans="1:2" x14ac:dyDescent="0.4">
      <c r="A3" s="3" t="s">
        <v>1</v>
      </c>
      <c r="B3" s="2" t="s">
        <v>2</v>
      </c>
    </row>
    <row r="4" spans="1:2" ht="28.3" x14ac:dyDescent="0.4">
      <c r="A4" s="3" t="s">
        <v>3</v>
      </c>
      <c r="B4" s="2" t="s">
        <v>4</v>
      </c>
    </row>
    <row r="5" spans="1:2" ht="28.3" x14ac:dyDescent="0.4">
      <c r="A5" s="3" t="s">
        <v>5</v>
      </c>
      <c r="B5" s="2" t="s">
        <v>6</v>
      </c>
    </row>
    <row r="6" spans="1:2" ht="28.3" x14ac:dyDescent="0.4">
      <c r="A6" s="3" t="s">
        <v>7</v>
      </c>
      <c r="B6" s="2" t="s">
        <v>8</v>
      </c>
    </row>
    <row r="7" spans="1:2" x14ac:dyDescent="0.4">
      <c r="A7" s="2"/>
      <c r="B7" s="2"/>
    </row>
    <row r="8" spans="1:2" x14ac:dyDescent="0.4">
      <c r="A8" s="4" t="s">
        <v>9</v>
      </c>
      <c r="B8" s="4" t="s">
        <v>10</v>
      </c>
    </row>
    <row r="9" spans="1:2" x14ac:dyDescent="0.4">
      <c r="A9" s="5">
        <v>5</v>
      </c>
      <c r="B9" s="2" t="s">
        <v>11</v>
      </c>
    </row>
    <row r="10" spans="1:2" x14ac:dyDescent="0.4">
      <c r="A10" s="5">
        <v>4</v>
      </c>
      <c r="B10" s="2" t="s">
        <v>12</v>
      </c>
    </row>
    <row r="11" spans="1:2" x14ac:dyDescent="0.4">
      <c r="A11" s="5">
        <v>3</v>
      </c>
      <c r="B11" s="2" t="s">
        <v>13</v>
      </c>
    </row>
    <row r="12" spans="1:2" x14ac:dyDescent="0.4">
      <c r="A12" s="5">
        <v>2</v>
      </c>
      <c r="B12" s="2" t="s">
        <v>14</v>
      </c>
    </row>
    <row r="13" spans="1:2" x14ac:dyDescent="0.4">
      <c r="A13" s="5">
        <v>1</v>
      </c>
      <c r="B13" s="2" t="s">
        <v>15</v>
      </c>
    </row>
    <row r="14" spans="1:2" x14ac:dyDescent="0.4">
      <c r="A14" s="2"/>
      <c r="B14" s="2"/>
    </row>
    <row r="15" spans="1:2" ht="42.45" x14ac:dyDescent="0.4">
      <c r="A15" s="3" t="s">
        <v>16</v>
      </c>
      <c r="B15" s="2" t="s">
        <v>17</v>
      </c>
    </row>
    <row r="16" spans="1:2" ht="28.3" x14ac:dyDescent="0.4">
      <c r="A16" s="3" t="s">
        <v>18</v>
      </c>
      <c r="B16" s="2" t="s">
        <v>19</v>
      </c>
    </row>
    <row r="17" spans="1:2" ht="28.3" x14ac:dyDescent="0.4">
      <c r="A17" s="3" t="s">
        <v>20</v>
      </c>
      <c r="B17" s="2" t="s">
        <v>21</v>
      </c>
    </row>
    <row r="18" spans="1:2" ht="42.45" x14ac:dyDescent="0.4">
      <c r="A18" s="3" t="s">
        <v>22</v>
      </c>
      <c r="B18" s="2" t="s">
        <v>23</v>
      </c>
    </row>
  </sheetData>
  <mergeCells count="1">
    <mergeCell ref="A1:B1"/>
  </mergeCells>
  <phoneticPr fontId="6" type="noConversion"/>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1"/>
  <sheetViews>
    <sheetView tabSelected="1" zoomScaleNormal="100" workbookViewId="0">
      <pane xSplit="2" ySplit="1" topLeftCell="E84" activePane="bottomRight" state="frozen"/>
      <selection pane="topRight" activeCell="C1" sqref="C1"/>
      <selection pane="bottomLeft" activeCell="A2" sqref="A2"/>
      <selection pane="bottomRight" activeCell="N93" sqref="N93"/>
    </sheetView>
  </sheetViews>
  <sheetFormatPr defaultColWidth="8.69140625" defaultRowHeight="14.6" x14ac:dyDescent="0.4"/>
  <cols>
    <col min="1" max="1" width="5" customWidth="1"/>
    <col min="2" max="3" width="8" customWidth="1"/>
    <col min="4" max="5" width="30" customWidth="1"/>
    <col min="6" max="6" width="60" customWidth="1"/>
    <col min="7" max="7" width="10" customWidth="1"/>
    <col min="8" max="8" width="11" customWidth="1"/>
    <col min="9" max="10" width="9" customWidth="1"/>
    <col min="11" max="11" width="8" customWidth="1"/>
    <col min="12" max="12" width="7" customWidth="1"/>
    <col min="13" max="13" width="8" customWidth="1"/>
    <col min="14" max="14" width="30" customWidth="1"/>
  </cols>
  <sheetData>
    <row r="1" spans="1:14" ht="30" customHeight="1" x14ac:dyDescent="0.4">
      <c r="A1" s="6" t="s">
        <v>24</v>
      </c>
      <c r="B1" s="6" t="s">
        <v>25</v>
      </c>
      <c r="C1" s="6" t="s">
        <v>26</v>
      </c>
      <c r="D1" s="6" t="s">
        <v>27</v>
      </c>
      <c r="E1" s="6" t="s">
        <v>28</v>
      </c>
      <c r="F1" s="6" t="s">
        <v>29</v>
      </c>
      <c r="G1" s="6" t="s">
        <v>30</v>
      </c>
      <c r="H1" s="6" t="s">
        <v>31</v>
      </c>
      <c r="I1" s="6" t="s">
        <v>32</v>
      </c>
      <c r="J1" s="6" t="s">
        <v>33</v>
      </c>
      <c r="K1" s="6" t="s">
        <v>34</v>
      </c>
      <c r="L1" s="6" t="s">
        <v>35</v>
      </c>
      <c r="M1" s="6" t="s">
        <v>36</v>
      </c>
      <c r="N1" s="6" t="s">
        <v>37</v>
      </c>
    </row>
    <row r="2" spans="1:14" ht="28.3" x14ac:dyDescent="0.4">
      <c r="A2" s="7">
        <v>1</v>
      </c>
      <c r="B2" s="7" t="s">
        <v>38</v>
      </c>
      <c r="C2" s="7" t="s">
        <v>39</v>
      </c>
      <c r="D2" s="8" t="s">
        <v>40</v>
      </c>
      <c r="E2" s="8" t="s">
        <v>41</v>
      </c>
      <c r="F2" s="8" t="s">
        <v>42</v>
      </c>
      <c r="G2" s="9">
        <v>5</v>
      </c>
      <c r="H2" s="9">
        <v>4</v>
      </c>
      <c r="I2" s="10">
        <f t="shared" ref="I2:I33" si="0">IF(COUNT(G2:H2)=0,"",ROUND(AVERAGE(G2:H2),2))</f>
        <v>4.5</v>
      </c>
      <c r="J2" s="7">
        <f t="shared" ref="J2:J33" si="1">COUNT(G2:H2)</f>
        <v>2</v>
      </c>
      <c r="K2" s="7">
        <f t="shared" ref="K2:K33" si="2">IF(COUNT(G2:H2)&lt;2,"",ABS(G2-H2))</f>
        <v>1</v>
      </c>
      <c r="L2" s="7">
        <f t="shared" ref="L2:L33" si="3">IF(I2="","",RANK(I2,$I$2:$I$101))</f>
        <v>10</v>
      </c>
      <c r="M2" s="9"/>
      <c r="N2" s="11"/>
    </row>
    <row r="3" spans="1:14" ht="28.3" x14ac:dyDescent="0.4">
      <c r="A3" s="7">
        <v>2</v>
      </c>
      <c r="B3" s="7" t="s">
        <v>43</v>
      </c>
      <c r="C3" s="7" t="s">
        <v>39</v>
      </c>
      <c r="D3" s="8" t="s">
        <v>40</v>
      </c>
      <c r="E3" s="8" t="s">
        <v>44</v>
      </c>
      <c r="F3" s="8" t="s">
        <v>45</v>
      </c>
      <c r="G3" s="9">
        <v>4</v>
      </c>
      <c r="H3" s="9">
        <v>4</v>
      </c>
      <c r="I3" s="10">
        <f t="shared" si="0"/>
        <v>4</v>
      </c>
      <c r="J3" s="7">
        <f t="shared" si="1"/>
        <v>2</v>
      </c>
      <c r="K3" s="7">
        <f t="shared" si="2"/>
        <v>0</v>
      </c>
      <c r="L3" s="7">
        <f t="shared" si="3"/>
        <v>23</v>
      </c>
      <c r="M3" s="9"/>
      <c r="N3" s="11"/>
    </row>
    <row r="4" spans="1:14" ht="28.3" x14ac:dyDescent="0.4">
      <c r="A4" s="7">
        <v>3</v>
      </c>
      <c r="B4" s="7" t="s">
        <v>46</v>
      </c>
      <c r="C4" s="7" t="s">
        <v>39</v>
      </c>
      <c r="D4" s="8" t="s">
        <v>40</v>
      </c>
      <c r="E4" s="8" t="s">
        <v>47</v>
      </c>
      <c r="F4" s="8" t="s">
        <v>48</v>
      </c>
      <c r="G4" s="9">
        <v>4</v>
      </c>
      <c r="H4" s="9">
        <v>3</v>
      </c>
      <c r="I4" s="10">
        <f t="shared" si="0"/>
        <v>3.5</v>
      </c>
      <c r="J4" s="7">
        <f t="shared" si="1"/>
        <v>2</v>
      </c>
      <c r="K4" s="7">
        <f t="shared" si="2"/>
        <v>1</v>
      </c>
      <c r="L4" s="7">
        <f t="shared" si="3"/>
        <v>38</v>
      </c>
      <c r="M4" s="9"/>
      <c r="N4" s="11"/>
    </row>
    <row r="5" spans="1:14" ht="28.3" x14ac:dyDescent="0.4">
      <c r="A5" s="7">
        <v>4</v>
      </c>
      <c r="B5" s="7" t="s">
        <v>49</v>
      </c>
      <c r="C5" s="7" t="s">
        <v>39</v>
      </c>
      <c r="D5" s="8" t="s">
        <v>40</v>
      </c>
      <c r="E5" s="8" t="s">
        <v>50</v>
      </c>
      <c r="F5" s="8" t="s">
        <v>51</v>
      </c>
      <c r="G5" s="9">
        <v>3</v>
      </c>
      <c r="H5" s="9">
        <v>4</v>
      </c>
      <c r="I5" s="10">
        <f t="shared" si="0"/>
        <v>3.5</v>
      </c>
      <c r="J5" s="7">
        <f t="shared" si="1"/>
        <v>2</v>
      </c>
      <c r="K5" s="7">
        <f t="shared" si="2"/>
        <v>1</v>
      </c>
      <c r="L5" s="7">
        <f t="shared" si="3"/>
        <v>38</v>
      </c>
      <c r="M5" s="9"/>
      <c r="N5" s="11"/>
    </row>
    <row r="6" spans="1:14" ht="28.3" x14ac:dyDescent="0.4">
      <c r="A6" s="7">
        <v>5</v>
      </c>
      <c r="B6" s="7" t="s">
        <v>52</v>
      </c>
      <c r="C6" s="7" t="s">
        <v>39</v>
      </c>
      <c r="D6" s="8" t="s">
        <v>40</v>
      </c>
      <c r="E6" s="8" t="s">
        <v>53</v>
      </c>
      <c r="F6" s="8" t="s">
        <v>54</v>
      </c>
      <c r="G6" s="9">
        <v>2</v>
      </c>
      <c r="H6" s="9">
        <v>2</v>
      </c>
      <c r="I6" s="10">
        <f t="shared" si="0"/>
        <v>2</v>
      </c>
      <c r="J6" s="7">
        <f t="shared" si="1"/>
        <v>2</v>
      </c>
      <c r="K6" s="7">
        <f t="shared" si="2"/>
        <v>0</v>
      </c>
      <c r="L6" s="7">
        <f t="shared" si="3"/>
        <v>86</v>
      </c>
      <c r="M6" s="9"/>
      <c r="N6" s="11"/>
    </row>
    <row r="7" spans="1:14" ht="28.3" x14ac:dyDescent="0.4">
      <c r="A7" s="7">
        <v>6</v>
      </c>
      <c r="B7" s="7" t="s">
        <v>55</v>
      </c>
      <c r="C7" s="7" t="s">
        <v>56</v>
      </c>
      <c r="D7" s="8" t="s">
        <v>57</v>
      </c>
      <c r="E7" s="8" t="s">
        <v>58</v>
      </c>
      <c r="F7" s="8" t="s">
        <v>59</v>
      </c>
      <c r="G7" s="9">
        <v>5</v>
      </c>
      <c r="H7" s="9">
        <v>4</v>
      </c>
      <c r="I7" s="10">
        <f t="shared" si="0"/>
        <v>4.5</v>
      </c>
      <c r="J7" s="7">
        <f t="shared" si="1"/>
        <v>2</v>
      </c>
      <c r="K7" s="7">
        <f t="shared" si="2"/>
        <v>1</v>
      </c>
      <c r="L7" s="7">
        <f t="shared" si="3"/>
        <v>10</v>
      </c>
      <c r="M7" s="9"/>
      <c r="N7" s="11"/>
    </row>
    <row r="8" spans="1:14" ht="28.3" x14ac:dyDescent="0.4">
      <c r="A8" s="7">
        <v>7</v>
      </c>
      <c r="B8" s="7" t="s">
        <v>60</v>
      </c>
      <c r="C8" s="7" t="s">
        <v>56</v>
      </c>
      <c r="D8" s="8" t="s">
        <v>57</v>
      </c>
      <c r="E8" s="8" t="s">
        <v>61</v>
      </c>
      <c r="F8" s="8" t="s">
        <v>62</v>
      </c>
      <c r="G8" s="9">
        <v>5</v>
      </c>
      <c r="H8" s="9">
        <v>5</v>
      </c>
      <c r="I8" s="10">
        <f t="shared" si="0"/>
        <v>5</v>
      </c>
      <c r="J8" s="7">
        <f t="shared" si="1"/>
        <v>2</v>
      </c>
      <c r="K8" s="7">
        <f t="shared" si="2"/>
        <v>0</v>
      </c>
      <c r="L8" s="7">
        <f t="shared" si="3"/>
        <v>1</v>
      </c>
      <c r="M8" s="9"/>
      <c r="N8" s="11"/>
    </row>
    <row r="9" spans="1:14" ht="28.3" x14ac:dyDescent="0.4">
      <c r="A9" s="7">
        <v>8</v>
      </c>
      <c r="B9" s="7" t="s">
        <v>63</v>
      </c>
      <c r="C9" s="7" t="s">
        <v>56</v>
      </c>
      <c r="D9" s="8" t="s">
        <v>57</v>
      </c>
      <c r="E9" s="8" t="s">
        <v>64</v>
      </c>
      <c r="F9" s="8" t="s">
        <v>65</v>
      </c>
      <c r="G9" s="9">
        <v>4</v>
      </c>
      <c r="H9" s="9">
        <v>5</v>
      </c>
      <c r="I9" s="10">
        <f t="shared" si="0"/>
        <v>4.5</v>
      </c>
      <c r="J9" s="7">
        <f t="shared" si="1"/>
        <v>2</v>
      </c>
      <c r="K9" s="7">
        <f t="shared" si="2"/>
        <v>1</v>
      </c>
      <c r="L9" s="7">
        <f t="shared" si="3"/>
        <v>10</v>
      </c>
      <c r="M9" s="9"/>
      <c r="N9" s="11"/>
    </row>
    <row r="10" spans="1:14" ht="28.3" x14ac:dyDescent="0.4">
      <c r="A10" s="7">
        <v>9</v>
      </c>
      <c r="B10" s="7" t="s">
        <v>66</v>
      </c>
      <c r="C10" s="7" t="s">
        <v>56</v>
      </c>
      <c r="D10" s="8" t="s">
        <v>57</v>
      </c>
      <c r="E10" s="8" t="s">
        <v>67</v>
      </c>
      <c r="F10" s="8" t="s">
        <v>68</v>
      </c>
      <c r="G10" s="9">
        <v>3</v>
      </c>
      <c r="H10" s="9">
        <v>3</v>
      </c>
      <c r="I10" s="10">
        <f t="shared" si="0"/>
        <v>3</v>
      </c>
      <c r="J10" s="7">
        <f t="shared" si="1"/>
        <v>2</v>
      </c>
      <c r="K10" s="7">
        <f t="shared" si="2"/>
        <v>0</v>
      </c>
      <c r="L10" s="7">
        <f t="shared" si="3"/>
        <v>56</v>
      </c>
      <c r="M10" s="9"/>
      <c r="N10" s="11"/>
    </row>
    <row r="11" spans="1:14" ht="28.3" x14ac:dyDescent="0.4">
      <c r="A11" s="7">
        <v>10</v>
      </c>
      <c r="B11" s="7" t="s">
        <v>69</v>
      </c>
      <c r="C11" s="7" t="s">
        <v>56</v>
      </c>
      <c r="D11" s="8" t="s">
        <v>57</v>
      </c>
      <c r="E11" s="8" t="s">
        <v>70</v>
      </c>
      <c r="F11" s="8" t="s">
        <v>71</v>
      </c>
      <c r="G11" s="9">
        <v>4</v>
      </c>
      <c r="H11" s="9">
        <v>5</v>
      </c>
      <c r="I11" s="10">
        <f t="shared" si="0"/>
        <v>4.5</v>
      </c>
      <c r="J11" s="7">
        <f t="shared" si="1"/>
        <v>2</v>
      </c>
      <c r="K11" s="7">
        <f t="shared" si="2"/>
        <v>1</v>
      </c>
      <c r="L11" s="7">
        <f t="shared" si="3"/>
        <v>10</v>
      </c>
      <c r="M11" s="9"/>
      <c r="N11" s="11"/>
    </row>
    <row r="12" spans="1:14" ht="28.3" x14ac:dyDescent="0.4">
      <c r="A12" s="7">
        <v>11</v>
      </c>
      <c r="B12" s="7" t="s">
        <v>72</v>
      </c>
      <c r="C12" s="7" t="s">
        <v>73</v>
      </c>
      <c r="D12" s="8" t="s">
        <v>74</v>
      </c>
      <c r="E12" s="8" t="s">
        <v>75</v>
      </c>
      <c r="F12" s="8" t="s">
        <v>76</v>
      </c>
      <c r="G12" s="9">
        <v>4</v>
      </c>
      <c r="H12" s="9">
        <v>4</v>
      </c>
      <c r="I12" s="10">
        <f t="shared" si="0"/>
        <v>4</v>
      </c>
      <c r="J12" s="7">
        <f t="shared" si="1"/>
        <v>2</v>
      </c>
      <c r="K12" s="7">
        <f t="shared" si="2"/>
        <v>0</v>
      </c>
      <c r="L12" s="7">
        <f t="shared" si="3"/>
        <v>23</v>
      </c>
      <c r="M12" s="9"/>
      <c r="N12" s="11"/>
    </row>
    <row r="13" spans="1:14" ht="28.3" x14ac:dyDescent="0.4">
      <c r="A13" s="7">
        <v>12</v>
      </c>
      <c r="B13" s="7" t="s">
        <v>77</v>
      </c>
      <c r="C13" s="7" t="s">
        <v>73</v>
      </c>
      <c r="D13" s="8" t="s">
        <v>74</v>
      </c>
      <c r="E13" s="8" t="s">
        <v>78</v>
      </c>
      <c r="F13" s="8" t="s">
        <v>79</v>
      </c>
      <c r="G13" s="9">
        <v>4</v>
      </c>
      <c r="H13" s="9">
        <v>3</v>
      </c>
      <c r="I13" s="10">
        <f t="shared" si="0"/>
        <v>3.5</v>
      </c>
      <c r="J13" s="7">
        <f t="shared" si="1"/>
        <v>2</v>
      </c>
      <c r="K13" s="7">
        <f t="shared" si="2"/>
        <v>1</v>
      </c>
      <c r="L13" s="7">
        <f t="shared" si="3"/>
        <v>38</v>
      </c>
      <c r="M13" s="9"/>
      <c r="N13" s="11"/>
    </row>
    <row r="14" spans="1:14" ht="28.3" x14ac:dyDescent="0.4">
      <c r="A14" s="7">
        <v>13</v>
      </c>
      <c r="B14" s="7" t="s">
        <v>80</v>
      </c>
      <c r="C14" s="7" t="s">
        <v>73</v>
      </c>
      <c r="D14" s="8" t="s">
        <v>74</v>
      </c>
      <c r="E14" s="8" t="s">
        <v>81</v>
      </c>
      <c r="F14" s="8" t="s">
        <v>82</v>
      </c>
      <c r="G14" s="9">
        <v>3</v>
      </c>
      <c r="H14" s="9">
        <v>2</v>
      </c>
      <c r="I14" s="10">
        <f t="shared" si="0"/>
        <v>2.5</v>
      </c>
      <c r="J14" s="7">
        <f t="shared" si="1"/>
        <v>2</v>
      </c>
      <c r="K14" s="7">
        <f t="shared" si="2"/>
        <v>1</v>
      </c>
      <c r="L14" s="7">
        <f t="shared" si="3"/>
        <v>69</v>
      </c>
      <c r="M14" s="9"/>
      <c r="N14" s="11"/>
    </row>
    <row r="15" spans="1:14" ht="28.3" x14ac:dyDescent="0.4">
      <c r="A15" s="7">
        <v>14</v>
      </c>
      <c r="B15" s="7" t="s">
        <v>83</v>
      </c>
      <c r="C15" s="7" t="s">
        <v>73</v>
      </c>
      <c r="D15" s="8" t="s">
        <v>74</v>
      </c>
      <c r="E15" s="8" t="s">
        <v>84</v>
      </c>
      <c r="F15" s="8" t="s">
        <v>85</v>
      </c>
      <c r="G15" s="9">
        <v>2</v>
      </c>
      <c r="H15" s="9">
        <v>3</v>
      </c>
      <c r="I15" s="10">
        <f t="shared" si="0"/>
        <v>2.5</v>
      </c>
      <c r="J15" s="7">
        <f t="shared" si="1"/>
        <v>2</v>
      </c>
      <c r="K15" s="7">
        <f t="shared" si="2"/>
        <v>1</v>
      </c>
      <c r="L15" s="7">
        <f t="shared" si="3"/>
        <v>69</v>
      </c>
      <c r="M15" s="9"/>
      <c r="N15" s="11"/>
    </row>
    <row r="16" spans="1:14" ht="28.3" x14ac:dyDescent="0.4">
      <c r="A16" s="7">
        <v>15</v>
      </c>
      <c r="B16" s="7" t="s">
        <v>86</v>
      </c>
      <c r="C16" s="7" t="s">
        <v>73</v>
      </c>
      <c r="D16" s="8" t="s">
        <v>74</v>
      </c>
      <c r="E16" s="8" t="s">
        <v>87</v>
      </c>
      <c r="F16" s="8" t="s">
        <v>88</v>
      </c>
      <c r="G16" s="9">
        <v>1</v>
      </c>
      <c r="H16" s="9">
        <v>2</v>
      </c>
      <c r="I16" s="10">
        <f t="shared" si="0"/>
        <v>1.5</v>
      </c>
      <c r="J16" s="7">
        <f t="shared" si="1"/>
        <v>2</v>
      </c>
      <c r="K16" s="7">
        <f t="shared" si="2"/>
        <v>1</v>
      </c>
      <c r="L16" s="7">
        <f t="shared" si="3"/>
        <v>96</v>
      </c>
      <c r="M16" s="9"/>
      <c r="N16" s="11"/>
    </row>
    <row r="17" spans="1:14" ht="28.3" x14ac:dyDescent="0.4">
      <c r="A17" s="7">
        <v>16</v>
      </c>
      <c r="B17" s="7" t="s">
        <v>89</v>
      </c>
      <c r="C17" s="7" t="s">
        <v>90</v>
      </c>
      <c r="D17" s="8" t="s">
        <v>91</v>
      </c>
      <c r="E17" s="8" t="s">
        <v>92</v>
      </c>
      <c r="F17" s="8" t="s">
        <v>93</v>
      </c>
      <c r="G17" s="9">
        <v>5</v>
      </c>
      <c r="H17" s="9">
        <v>5</v>
      </c>
      <c r="I17" s="10">
        <f t="shared" si="0"/>
        <v>5</v>
      </c>
      <c r="J17" s="7">
        <f t="shared" si="1"/>
        <v>2</v>
      </c>
      <c r="K17" s="7">
        <f t="shared" si="2"/>
        <v>0</v>
      </c>
      <c r="L17" s="7">
        <f t="shared" si="3"/>
        <v>1</v>
      </c>
      <c r="M17" s="9"/>
      <c r="N17" s="11"/>
    </row>
    <row r="18" spans="1:14" ht="28.3" x14ac:dyDescent="0.4">
      <c r="A18" s="7">
        <v>17</v>
      </c>
      <c r="B18" s="7" t="s">
        <v>94</v>
      </c>
      <c r="C18" s="7" t="s">
        <v>90</v>
      </c>
      <c r="D18" s="8" t="s">
        <v>91</v>
      </c>
      <c r="E18" s="8" t="s">
        <v>95</v>
      </c>
      <c r="F18" s="8" t="s">
        <v>96</v>
      </c>
      <c r="G18" s="9">
        <v>3</v>
      </c>
      <c r="H18" s="9">
        <v>3</v>
      </c>
      <c r="I18" s="10">
        <f t="shared" si="0"/>
        <v>3</v>
      </c>
      <c r="J18" s="7">
        <f t="shared" si="1"/>
        <v>2</v>
      </c>
      <c r="K18" s="7">
        <f t="shared" si="2"/>
        <v>0</v>
      </c>
      <c r="L18" s="7">
        <f t="shared" si="3"/>
        <v>56</v>
      </c>
      <c r="M18" s="9"/>
      <c r="N18" s="11"/>
    </row>
    <row r="19" spans="1:14" ht="28.3" x14ac:dyDescent="0.4">
      <c r="A19" s="7">
        <v>18</v>
      </c>
      <c r="B19" s="7" t="s">
        <v>97</v>
      </c>
      <c r="C19" s="7" t="s">
        <v>90</v>
      </c>
      <c r="D19" s="8" t="s">
        <v>91</v>
      </c>
      <c r="E19" s="8" t="s">
        <v>98</v>
      </c>
      <c r="F19" s="8" t="s">
        <v>99</v>
      </c>
      <c r="G19" s="9">
        <v>2</v>
      </c>
      <c r="H19" s="9">
        <v>1</v>
      </c>
      <c r="I19" s="10">
        <f t="shared" si="0"/>
        <v>1.5</v>
      </c>
      <c r="J19" s="7">
        <f t="shared" si="1"/>
        <v>2</v>
      </c>
      <c r="K19" s="7">
        <f t="shared" si="2"/>
        <v>1</v>
      </c>
      <c r="L19" s="7">
        <f t="shared" si="3"/>
        <v>96</v>
      </c>
      <c r="M19" s="9"/>
      <c r="N19" s="11"/>
    </row>
    <row r="20" spans="1:14" ht="28.3" x14ac:dyDescent="0.4">
      <c r="A20" s="7">
        <v>19</v>
      </c>
      <c r="B20" s="7" t="s">
        <v>100</v>
      </c>
      <c r="C20" s="7" t="s">
        <v>90</v>
      </c>
      <c r="D20" s="8" t="s">
        <v>91</v>
      </c>
      <c r="E20" s="8" t="s">
        <v>101</v>
      </c>
      <c r="F20" s="8" t="s">
        <v>102</v>
      </c>
      <c r="G20" s="9">
        <v>2</v>
      </c>
      <c r="H20" s="9">
        <v>3</v>
      </c>
      <c r="I20" s="10">
        <f t="shared" si="0"/>
        <v>2.5</v>
      </c>
      <c r="J20" s="7">
        <f t="shared" si="1"/>
        <v>2</v>
      </c>
      <c r="K20" s="7">
        <f t="shared" si="2"/>
        <v>1</v>
      </c>
      <c r="L20" s="7">
        <f t="shared" si="3"/>
        <v>69</v>
      </c>
      <c r="M20" s="9"/>
      <c r="N20" s="11"/>
    </row>
    <row r="21" spans="1:14" ht="28.3" x14ac:dyDescent="0.4">
      <c r="A21" s="7">
        <v>20</v>
      </c>
      <c r="B21" s="7" t="s">
        <v>103</v>
      </c>
      <c r="C21" s="7" t="s">
        <v>90</v>
      </c>
      <c r="D21" s="8" t="s">
        <v>91</v>
      </c>
      <c r="E21" s="8" t="s">
        <v>104</v>
      </c>
      <c r="F21" s="8" t="s">
        <v>105</v>
      </c>
      <c r="G21" s="9">
        <v>3</v>
      </c>
      <c r="H21" s="9">
        <v>4</v>
      </c>
      <c r="I21" s="10">
        <f t="shared" si="0"/>
        <v>3.5</v>
      </c>
      <c r="J21" s="7">
        <f t="shared" si="1"/>
        <v>2</v>
      </c>
      <c r="K21" s="7">
        <f t="shared" si="2"/>
        <v>1</v>
      </c>
      <c r="L21" s="7">
        <f t="shared" si="3"/>
        <v>38</v>
      </c>
      <c r="M21" s="9"/>
      <c r="N21" s="11"/>
    </row>
    <row r="22" spans="1:14" ht="28.3" x14ac:dyDescent="0.4">
      <c r="A22" s="7">
        <v>21</v>
      </c>
      <c r="B22" s="7" t="s">
        <v>106</v>
      </c>
      <c r="C22" s="7" t="s">
        <v>107</v>
      </c>
      <c r="D22" s="8" t="s">
        <v>108</v>
      </c>
      <c r="E22" s="8" t="s">
        <v>109</v>
      </c>
      <c r="F22" s="8" t="s">
        <v>110</v>
      </c>
      <c r="G22" s="9">
        <v>5</v>
      </c>
      <c r="H22" s="9">
        <v>5</v>
      </c>
      <c r="I22" s="10">
        <f t="shared" si="0"/>
        <v>5</v>
      </c>
      <c r="J22" s="7">
        <f t="shared" si="1"/>
        <v>2</v>
      </c>
      <c r="K22" s="7">
        <f t="shared" si="2"/>
        <v>0</v>
      </c>
      <c r="L22" s="7">
        <f t="shared" si="3"/>
        <v>1</v>
      </c>
      <c r="M22" s="9"/>
      <c r="N22" s="11"/>
    </row>
    <row r="23" spans="1:14" ht="28.3" x14ac:dyDescent="0.4">
      <c r="A23" s="7">
        <v>22</v>
      </c>
      <c r="B23" s="7" t="s">
        <v>111</v>
      </c>
      <c r="C23" s="7" t="s">
        <v>107</v>
      </c>
      <c r="D23" s="8" t="s">
        <v>108</v>
      </c>
      <c r="E23" s="8" t="s">
        <v>112</v>
      </c>
      <c r="F23" s="8" t="s">
        <v>113</v>
      </c>
      <c r="G23" s="9">
        <v>4</v>
      </c>
      <c r="H23" s="9">
        <v>3</v>
      </c>
      <c r="I23" s="10">
        <f t="shared" si="0"/>
        <v>3.5</v>
      </c>
      <c r="J23" s="7">
        <f t="shared" si="1"/>
        <v>2</v>
      </c>
      <c r="K23" s="7">
        <f t="shared" si="2"/>
        <v>1</v>
      </c>
      <c r="L23" s="7">
        <f t="shared" si="3"/>
        <v>38</v>
      </c>
      <c r="M23" s="9"/>
      <c r="N23" s="11"/>
    </row>
    <row r="24" spans="1:14" ht="28.3" x14ac:dyDescent="0.4">
      <c r="A24" s="7">
        <v>23</v>
      </c>
      <c r="B24" s="7" t="s">
        <v>114</v>
      </c>
      <c r="C24" s="7" t="s">
        <v>107</v>
      </c>
      <c r="D24" s="8" t="s">
        <v>108</v>
      </c>
      <c r="E24" s="8" t="s">
        <v>115</v>
      </c>
      <c r="F24" s="8" t="s">
        <v>116</v>
      </c>
      <c r="G24" s="9">
        <v>3</v>
      </c>
      <c r="H24" s="9">
        <v>2</v>
      </c>
      <c r="I24" s="10">
        <f t="shared" si="0"/>
        <v>2.5</v>
      </c>
      <c r="J24" s="7">
        <f t="shared" si="1"/>
        <v>2</v>
      </c>
      <c r="K24" s="7">
        <f t="shared" si="2"/>
        <v>1</v>
      </c>
      <c r="L24" s="7">
        <f t="shared" si="3"/>
        <v>69</v>
      </c>
      <c r="M24" s="9"/>
      <c r="N24" s="11"/>
    </row>
    <row r="25" spans="1:14" ht="28.3" x14ac:dyDescent="0.4">
      <c r="A25" s="7">
        <v>24</v>
      </c>
      <c r="B25" s="7" t="s">
        <v>117</v>
      </c>
      <c r="C25" s="7" t="s">
        <v>107</v>
      </c>
      <c r="D25" s="8" t="s">
        <v>108</v>
      </c>
      <c r="E25" s="8" t="s">
        <v>118</v>
      </c>
      <c r="F25" s="8" t="s">
        <v>119</v>
      </c>
      <c r="G25" s="9">
        <v>3</v>
      </c>
      <c r="H25" s="9">
        <v>3</v>
      </c>
      <c r="I25" s="10">
        <f t="shared" si="0"/>
        <v>3</v>
      </c>
      <c r="J25" s="7">
        <f t="shared" si="1"/>
        <v>2</v>
      </c>
      <c r="K25" s="7">
        <f t="shared" si="2"/>
        <v>0</v>
      </c>
      <c r="L25" s="7">
        <f t="shared" si="3"/>
        <v>56</v>
      </c>
      <c r="M25" s="9"/>
      <c r="N25" s="11"/>
    </row>
    <row r="26" spans="1:14" ht="28.3" x14ac:dyDescent="0.4">
      <c r="A26" s="7">
        <v>25</v>
      </c>
      <c r="B26" s="7" t="s">
        <v>120</v>
      </c>
      <c r="C26" s="7" t="s">
        <v>107</v>
      </c>
      <c r="D26" s="8" t="s">
        <v>108</v>
      </c>
      <c r="E26" s="8" t="s">
        <v>121</v>
      </c>
      <c r="F26" s="8" t="s">
        <v>122</v>
      </c>
      <c r="G26" s="9">
        <v>1</v>
      </c>
      <c r="H26" s="9">
        <v>3</v>
      </c>
      <c r="I26" s="10">
        <f t="shared" si="0"/>
        <v>2</v>
      </c>
      <c r="J26" s="7">
        <f t="shared" si="1"/>
        <v>2</v>
      </c>
      <c r="K26" s="7">
        <f t="shared" si="2"/>
        <v>2</v>
      </c>
      <c r="L26" s="7">
        <f t="shared" si="3"/>
        <v>86</v>
      </c>
      <c r="M26" s="9"/>
      <c r="N26" s="12" t="s">
        <v>378</v>
      </c>
    </row>
    <row r="27" spans="1:14" ht="28.3" x14ac:dyDescent="0.4">
      <c r="A27" s="7">
        <v>26</v>
      </c>
      <c r="B27" s="7" t="s">
        <v>123</v>
      </c>
      <c r="C27" s="7" t="s">
        <v>124</v>
      </c>
      <c r="D27" s="8" t="s">
        <v>125</v>
      </c>
      <c r="E27" s="8" t="s">
        <v>126</v>
      </c>
      <c r="F27" s="8" t="s">
        <v>127</v>
      </c>
      <c r="G27" s="9">
        <v>4</v>
      </c>
      <c r="H27" s="9">
        <v>4</v>
      </c>
      <c r="I27" s="10">
        <f t="shared" si="0"/>
        <v>4</v>
      </c>
      <c r="J27" s="7">
        <f t="shared" si="1"/>
        <v>2</v>
      </c>
      <c r="K27" s="7">
        <f t="shared" si="2"/>
        <v>0</v>
      </c>
      <c r="L27" s="7">
        <f t="shared" si="3"/>
        <v>23</v>
      </c>
      <c r="M27" s="9"/>
      <c r="N27" s="11"/>
    </row>
    <row r="28" spans="1:14" ht="28.3" x14ac:dyDescent="0.4">
      <c r="A28" s="7">
        <v>27</v>
      </c>
      <c r="B28" s="7" t="s">
        <v>128</v>
      </c>
      <c r="C28" s="7" t="s">
        <v>124</v>
      </c>
      <c r="D28" s="8" t="s">
        <v>125</v>
      </c>
      <c r="E28" s="8" t="s">
        <v>129</v>
      </c>
      <c r="F28" s="8" t="s">
        <v>130</v>
      </c>
      <c r="G28" s="9">
        <v>5</v>
      </c>
      <c r="H28" s="9">
        <v>4</v>
      </c>
      <c r="I28" s="10">
        <f t="shared" si="0"/>
        <v>4.5</v>
      </c>
      <c r="J28" s="7">
        <f t="shared" si="1"/>
        <v>2</v>
      </c>
      <c r="K28" s="7">
        <f t="shared" si="2"/>
        <v>1</v>
      </c>
      <c r="L28" s="7">
        <f t="shared" si="3"/>
        <v>10</v>
      </c>
      <c r="M28" s="9"/>
      <c r="N28" s="11"/>
    </row>
    <row r="29" spans="1:14" ht="28.3" x14ac:dyDescent="0.4">
      <c r="A29" s="7">
        <v>28</v>
      </c>
      <c r="B29" s="7" t="s">
        <v>131</v>
      </c>
      <c r="C29" s="7" t="s">
        <v>124</v>
      </c>
      <c r="D29" s="8" t="s">
        <v>125</v>
      </c>
      <c r="E29" s="8" t="s">
        <v>132</v>
      </c>
      <c r="F29" s="8" t="s">
        <v>133</v>
      </c>
      <c r="G29" s="9">
        <v>2</v>
      </c>
      <c r="H29" s="9">
        <v>3</v>
      </c>
      <c r="I29" s="10">
        <f t="shared" si="0"/>
        <v>2.5</v>
      </c>
      <c r="J29" s="7">
        <f t="shared" si="1"/>
        <v>2</v>
      </c>
      <c r="K29" s="7">
        <f t="shared" si="2"/>
        <v>1</v>
      </c>
      <c r="L29" s="7">
        <f t="shared" si="3"/>
        <v>69</v>
      </c>
      <c r="M29" s="9"/>
      <c r="N29" s="11"/>
    </row>
    <row r="30" spans="1:14" ht="28.3" x14ac:dyDescent="0.4">
      <c r="A30" s="7">
        <v>29</v>
      </c>
      <c r="B30" s="7" t="s">
        <v>134</v>
      </c>
      <c r="C30" s="7" t="s">
        <v>124</v>
      </c>
      <c r="D30" s="8" t="s">
        <v>125</v>
      </c>
      <c r="E30" s="8" t="s">
        <v>135</v>
      </c>
      <c r="F30" s="8" t="s">
        <v>136</v>
      </c>
      <c r="G30" s="9">
        <v>2</v>
      </c>
      <c r="H30" s="9">
        <v>2</v>
      </c>
      <c r="I30" s="10">
        <f t="shared" si="0"/>
        <v>2</v>
      </c>
      <c r="J30" s="7">
        <f t="shared" si="1"/>
        <v>2</v>
      </c>
      <c r="K30" s="7">
        <f t="shared" si="2"/>
        <v>0</v>
      </c>
      <c r="L30" s="7">
        <f t="shared" si="3"/>
        <v>86</v>
      </c>
      <c r="M30" s="9"/>
      <c r="N30" s="11"/>
    </row>
    <row r="31" spans="1:14" ht="28.3" x14ac:dyDescent="0.4">
      <c r="A31" s="7">
        <v>30</v>
      </c>
      <c r="B31" s="7" t="s">
        <v>137</v>
      </c>
      <c r="C31" s="7" t="s">
        <v>124</v>
      </c>
      <c r="D31" s="8" t="s">
        <v>125</v>
      </c>
      <c r="E31" s="8" t="s">
        <v>138</v>
      </c>
      <c r="F31" s="8" t="s">
        <v>139</v>
      </c>
      <c r="G31" s="9">
        <v>5</v>
      </c>
      <c r="H31" s="9">
        <v>5</v>
      </c>
      <c r="I31" s="10">
        <f t="shared" si="0"/>
        <v>5</v>
      </c>
      <c r="J31" s="7">
        <f t="shared" si="1"/>
        <v>2</v>
      </c>
      <c r="K31" s="7">
        <f t="shared" si="2"/>
        <v>0</v>
      </c>
      <c r="L31" s="7">
        <f t="shared" si="3"/>
        <v>1</v>
      </c>
      <c r="M31" s="9"/>
      <c r="N31" s="11"/>
    </row>
    <row r="32" spans="1:14" ht="28.3" x14ac:dyDescent="0.4">
      <c r="A32" s="7">
        <v>31</v>
      </c>
      <c r="B32" s="7" t="s">
        <v>140</v>
      </c>
      <c r="C32" s="7" t="s">
        <v>141</v>
      </c>
      <c r="D32" s="8" t="s">
        <v>142</v>
      </c>
      <c r="E32" s="8" t="s">
        <v>143</v>
      </c>
      <c r="F32" s="8" t="s">
        <v>144</v>
      </c>
      <c r="G32" s="9">
        <v>5</v>
      </c>
      <c r="H32" s="9">
        <v>4</v>
      </c>
      <c r="I32" s="10">
        <f t="shared" si="0"/>
        <v>4.5</v>
      </c>
      <c r="J32" s="7">
        <f t="shared" si="1"/>
        <v>2</v>
      </c>
      <c r="K32" s="7">
        <f t="shared" si="2"/>
        <v>1</v>
      </c>
      <c r="L32" s="7">
        <f t="shared" si="3"/>
        <v>10</v>
      </c>
      <c r="M32" s="9"/>
      <c r="N32" s="11"/>
    </row>
    <row r="33" spans="1:14" ht="28.3" x14ac:dyDescent="0.4">
      <c r="A33" s="7">
        <v>32</v>
      </c>
      <c r="B33" s="7" t="s">
        <v>145</v>
      </c>
      <c r="C33" s="7" t="s">
        <v>141</v>
      </c>
      <c r="D33" s="8" t="s">
        <v>142</v>
      </c>
      <c r="E33" s="8" t="s">
        <v>146</v>
      </c>
      <c r="F33" s="8" t="s">
        <v>147</v>
      </c>
      <c r="G33" s="9">
        <v>4</v>
      </c>
      <c r="H33" s="9">
        <v>4</v>
      </c>
      <c r="I33" s="10">
        <f t="shared" si="0"/>
        <v>4</v>
      </c>
      <c r="J33" s="7">
        <f t="shared" si="1"/>
        <v>2</v>
      </c>
      <c r="K33" s="7">
        <f t="shared" si="2"/>
        <v>0</v>
      </c>
      <c r="L33" s="7">
        <f t="shared" si="3"/>
        <v>23</v>
      </c>
      <c r="M33" s="9"/>
      <c r="N33" s="11"/>
    </row>
    <row r="34" spans="1:14" ht="28.3" x14ac:dyDescent="0.4">
      <c r="A34" s="7">
        <v>33</v>
      </c>
      <c r="B34" s="7" t="s">
        <v>148</v>
      </c>
      <c r="C34" s="7" t="s">
        <v>141</v>
      </c>
      <c r="D34" s="8" t="s">
        <v>142</v>
      </c>
      <c r="E34" s="8" t="s">
        <v>149</v>
      </c>
      <c r="F34" s="8" t="s">
        <v>150</v>
      </c>
      <c r="G34" s="9">
        <v>3</v>
      </c>
      <c r="H34" s="9">
        <v>3</v>
      </c>
      <c r="I34" s="10">
        <f t="shared" ref="I34:I65" si="4">IF(COUNT(G34:H34)=0,"",ROUND(AVERAGE(G34:H34),2))</f>
        <v>3</v>
      </c>
      <c r="J34" s="7">
        <f t="shared" ref="J34:J65" si="5">COUNT(G34:H34)</f>
        <v>2</v>
      </c>
      <c r="K34" s="7">
        <f t="shared" ref="K34:K65" si="6">IF(COUNT(G34:H34)&lt;2,"",ABS(G34-H34))</f>
        <v>0</v>
      </c>
      <c r="L34" s="7">
        <f t="shared" ref="L34:L65" si="7">IF(I34="","",RANK(I34,$I$2:$I$101))</f>
        <v>56</v>
      </c>
      <c r="M34" s="9"/>
      <c r="N34" s="11"/>
    </row>
    <row r="35" spans="1:14" ht="28.3" x14ac:dyDescent="0.4">
      <c r="A35" s="7">
        <v>34</v>
      </c>
      <c r="B35" s="7" t="s">
        <v>151</v>
      </c>
      <c r="C35" s="7" t="s">
        <v>141</v>
      </c>
      <c r="D35" s="8" t="s">
        <v>142</v>
      </c>
      <c r="E35" s="8" t="s">
        <v>152</v>
      </c>
      <c r="F35" s="8" t="s">
        <v>153</v>
      </c>
      <c r="G35" s="9">
        <v>5</v>
      </c>
      <c r="H35" s="9">
        <v>4</v>
      </c>
      <c r="I35" s="10">
        <f t="shared" si="4"/>
        <v>4.5</v>
      </c>
      <c r="J35" s="7">
        <f t="shared" si="5"/>
        <v>2</v>
      </c>
      <c r="K35" s="7">
        <f t="shared" si="6"/>
        <v>1</v>
      </c>
      <c r="L35" s="7">
        <f t="shared" si="7"/>
        <v>10</v>
      </c>
      <c r="M35" s="9"/>
      <c r="N35" s="11"/>
    </row>
    <row r="36" spans="1:14" ht="28.3" x14ac:dyDescent="0.4">
      <c r="A36" s="7">
        <v>35</v>
      </c>
      <c r="B36" s="7" t="s">
        <v>154</v>
      </c>
      <c r="C36" s="7" t="s">
        <v>141</v>
      </c>
      <c r="D36" s="8" t="s">
        <v>142</v>
      </c>
      <c r="E36" s="8" t="s">
        <v>155</v>
      </c>
      <c r="F36" s="8" t="s">
        <v>156</v>
      </c>
      <c r="G36" s="9">
        <v>4</v>
      </c>
      <c r="H36" s="9">
        <v>4</v>
      </c>
      <c r="I36" s="10">
        <f t="shared" si="4"/>
        <v>4</v>
      </c>
      <c r="J36" s="7">
        <f t="shared" si="5"/>
        <v>2</v>
      </c>
      <c r="K36" s="7">
        <f t="shared" si="6"/>
        <v>0</v>
      </c>
      <c r="L36" s="7">
        <f t="shared" si="7"/>
        <v>23</v>
      </c>
      <c r="M36" s="9"/>
      <c r="N36" s="11"/>
    </row>
    <row r="37" spans="1:14" ht="28.3" x14ac:dyDescent="0.4">
      <c r="A37" s="7">
        <v>36</v>
      </c>
      <c r="B37" s="7" t="s">
        <v>157</v>
      </c>
      <c r="C37" s="7" t="s">
        <v>158</v>
      </c>
      <c r="D37" s="8" t="s">
        <v>159</v>
      </c>
      <c r="E37" s="8" t="s">
        <v>160</v>
      </c>
      <c r="F37" s="8" t="s">
        <v>161</v>
      </c>
      <c r="G37" s="9">
        <v>5</v>
      </c>
      <c r="H37" s="9">
        <v>5</v>
      </c>
      <c r="I37" s="10">
        <f t="shared" si="4"/>
        <v>5</v>
      </c>
      <c r="J37" s="7">
        <f t="shared" si="5"/>
        <v>2</v>
      </c>
      <c r="K37" s="7">
        <f t="shared" si="6"/>
        <v>0</v>
      </c>
      <c r="L37" s="7">
        <f t="shared" si="7"/>
        <v>1</v>
      </c>
      <c r="M37" s="9"/>
      <c r="N37" s="11"/>
    </row>
    <row r="38" spans="1:14" ht="28.3" x14ac:dyDescent="0.4">
      <c r="A38" s="7">
        <v>37</v>
      </c>
      <c r="B38" s="7" t="s">
        <v>162</v>
      </c>
      <c r="C38" s="7" t="s">
        <v>158</v>
      </c>
      <c r="D38" s="8" t="s">
        <v>159</v>
      </c>
      <c r="E38" s="8" t="s">
        <v>163</v>
      </c>
      <c r="F38" s="8" t="s">
        <v>164</v>
      </c>
      <c r="G38" s="9">
        <v>2</v>
      </c>
      <c r="H38" s="9">
        <v>2</v>
      </c>
      <c r="I38" s="10">
        <f t="shared" si="4"/>
        <v>2</v>
      </c>
      <c r="J38" s="7">
        <f t="shared" si="5"/>
        <v>2</v>
      </c>
      <c r="K38" s="7">
        <f t="shared" si="6"/>
        <v>0</v>
      </c>
      <c r="L38" s="7">
        <f t="shared" si="7"/>
        <v>86</v>
      </c>
      <c r="M38" s="9"/>
      <c r="N38" s="11"/>
    </row>
    <row r="39" spans="1:14" ht="28.3" x14ac:dyDescent="0.4">
      <c r="A39" s="7">
        <v>38</v>
      </c>
      <c r="B39" s="7" t="s">
        <v>165</v>
      </c>
      <c r="C39" s="7" t="s">
        <v>158</v>
      </c>
      <c r="D39" s="8" t="s">
        <v>159</v>
      </c>
      <c r="E39" s="8" t="s">
        <v>166</v>
      </c>
      <c r="F39" s="8" t="s">
        <v>167</v>
      </c>
      <c r="G39" s="9">
        <v>3</v>
      </c>
      <c r="H39" s="9">
        <v>3</v>
      </c>
      <c r="I39" s="10">
        <f t="shared" si="4"/>
        <v>3</v>
      </c>
      <c r="J39" s="7">
        <f t="shared" si="5"/>
        <v>2</v>
      </c>
      <c r="K39" s="7">
        <f t="shared" si="6"/>
        <v>0</v>
      </c>
      <c r="L39" s="7">
        <f t="shared" si="7"/>
        <v>56</v>
      </c>
      <c r="M39" s="9"/>
      <c r="N39" s="11"/>
    </row>
    <row r="40" spans="1:14" ht="28.3" x14ac:dyDescent="0.4">
      <c r="A40" s="7">
        <v>39</v>
      </c>
      <c r="B40" s="7" t="s">
        <v>168</v>
      </c>
      <c r="C40" s="7" t="s">
        <v>158</v>
      </c>
      <c r="D40" s="8" t="s">
        <v>159</v>
      </c>
      <c r="E40" s="8" t="s">
        <v>169</v>
      </c>
      <c r="F40" s="8" t="s">
        <v>170</v>
      </c>
      <c r="G40" s="9">
        <v>4</v>
      </c>
      <c r="H40" s="9">
        <v>3</v>
      </c>
      <c r="I40" s="10">
        <f t="shared" si="4"/>
        <v>3.5</v>
      </c>
      <c r="J40" s="7">
        <f t="shared" si="5"/>
        <v>2</v>
      </c>
      <c r="K40" s="7">
        <f t="shared" si="6"/>
        <v>1</v>
      </c>
      <c r="L40" s="7">
        <f t="shared" si="7"/>
        <v>38</v>
      </c>
      <c r="M40" s="9"/>
      <c r="N40" s="11"/>
    </row>
    <row r="41" spans="1:14" ht="28.3" x14ac:dyDescent="0.4">
      <c r="A41" s="7">
        <v>40</v>
      </c>
      <c r="B41" s="7" t="s">
        <v>171</v>
      </c>
      <c r="C41" s="7" t="s">
        <v>158</v>
      </c>
      <c r="D41" s="8" t="s">
        <v>159</v>
      </c>
      <c r="E41" s="8" t="s">
        <v>172</v>
      </c>
      <c r="F41" s="8" t="s">
        <v>173</v>
      </c>
      <c r="G41" s="9">
        <v>2</v>
      </c>
      <c r="H41" s="9">
        <v>3</v>
      </c>
      <c r="I41" s="10">
        <f t="shared" si="4"/>
        <v>2.5</v>
      </c>
      <c r="J41" s="7">
        <f t="shared" si="5"/>
        <v>2</v>
      </c>
      <c r="K41" s="7">
        <f t="shared" si="6"/>
        <v>1</v>
      </c>
      <c r="L41" s="7">
        <f t="shared" si="7"/>
        <v>69</v>
      </c>
      <c r="M41" s="9"/>
      <c r="N41" s="11"/>
    </row>
    <row r="42" spans="1:14" ht="28.3" x14ac:dyDescent="0.4">
      <c r="A42" s="7">
        <v>41</v>
      </c>
      <c r="B42" s="7" t="s">
        <v>174</v>
      </c>
      <c r="C42" s="7" t="s">
        <v>175</v>
      </c>
      <c r="D42" s="8" t="s">
        <v>176</v>
      </c>
      <c r="E42" s="8" t="s">
        <v>177</v>
      </c>
      <c r="F42" s="8" t="s">
        <v>178</v>
      </c>
      <c r="G42" s="9">
        <v>5</v>
      </c>
      <c r="H42" s="9">
        <v>4</v>
      </c>
      <c r="I42" s="10">
        <f t="shared" si="4"/>
        <v>4.5</v>
      </c>
      <c r="J42" s="7">
        <f t="shared" si="5"/>
        <v>2</v>
      </c>
      <c r="K42" s="7">
        <f t="shared" si="6"/>
        <v>1</v>
      </c>
      <c r="L42" s="7">
        <f t="shared" si="7"/>
        <v>10</v>
      </c>
      <c r="M42" s="9"/>
      <c r="N42" s="11"/>
    </row>
    <row r="43" spans="1:14" ht="28.3" x14ac:dyDescent="0.4">
      <c r="A43" s="7">
        <v>42</v>
      </c>
      <c r="B43" s="7" t="s">
        <v>179</v>
      </c>
      <c r="C43" s="7" t="s">
        <v>175</v>
      </c>
      <c r="D43" s="8" t="s">
        <v>176</v>
      </c>
      <c r="E43" s="8" t="s">
        <v>180</v>
      </c>
      <c r="F43" s="8" t="s">
        <v>181</v>
      </c>
      <c r="G43" s="9">
        <v>4</v>
      </c>
      <c r="H43" s="9">
        <v>5</v>
      </c>
      <c r="I43" s="10">
        <f t="shared" si="4"/>
        <v>4.5</v>
      </c>
      <c r="J43" s="7">
        <f t="shared" si="5"/>
        <v>2</v>
      </c>
      <c r="K43" s="7">
        <f t="shared" si="6"/>
        <v>1</v>
      </c>
      <c r="L43" s="7">
        <f t="shared" si="7"/>
        <v>10</v>
      </c>
      <c r="M43" s="9"/>
      <c r="N43" s="11"/>
    </row>
    <row r="44" spans="1:14" ht="28.3" x14ac:dyDescent="0.4">
      <c r="A44" s="7">
        <v>43</v>
      </c>
      <c r="B44" s="7" t="s">
        <v>182</v>
      </c>
      <c r="C44" s="7" t="s">
        <v>175</v>
      </c>
      <c r="D44" s="8" t="s">
        <v>176</v>
      </c>
      <c r="E44" s="8" t="s">
        <v>183</v>
      </c>
      <c r="F44" s="8" t="s">
        <v>184</v>
      </c>
      <c r="G44" s="9">
        <v>3</v>
      </c>
      <c r="H44" s="9">
        <v>3</v>
      </c>
      <c r="I44" s="10">
        <f t="shared" si="4"/>
        <v>3</v>
      </c>
      <c r="J44" s="7">
        <f t="shared" si="5"/>
        <v>2</v>
      </c>
      <c r="K44" s="7">
        <f t="shared" si="6"/>
        <v>0</v>
      </c>
      <c r="L44" s="7">
        <f t="shared" si="7"/>
        <v>56</v>
      </c>
      <c r="M44" s="9"/>
      <c r="N44" s="11"/>
    </row>
    <row r="45" spans="1:14" ht="28.3" x14ac:dyDescent="0.4">
      <c r="A45" s="7">
        <v>44</v>
      </c>
      <c r="B45" s="7" t="s">
        <v>185</v>
      </c>
      <c r="C45" s="7" t="s">
        <v>175</v>
      </c>
      <c r="D45" s="8" t="s">
        <v>176</v>
      </c>
      <c r="E45" s="8" t="s">
        <v>186</v>
      </c>
      <c r="F45" s="8" t="s">
        <v>187</v>
      </c>
      <c r="G45" s="9">
        <v>3</v>
      </c>
      <c r="H45" s="9">
        <v>4</v>
      </c>
      <c r="I45" s="10">
        <f t="shared" si="4"/>
        <v>3.5</v>
      </c>
      <c r="J45" s="7">
        <f t="shared" si="5"/>
        <v>2</v>
      </c>
      <c r="K45" s="7">
        <f t="shared" si="6"/>
        <v>1</v>
      </c>
      <c r="L45" s="7">
        <f t="shared" si="7"/>
        <v>38</v>
      </c>
      <c r="M45" s="9"/>
      <c r="N45" s="11"/>
    </row>
    <row r="46" spans="1:14" ht="28.3" x14ac:dyDescent="0.4">
      <c r="A46" s="7">
        <v>45</v>
      </c>
      <c r="B46" s="7" t="s">
        <v>188</v>
      </c>
      <c r="C46" s="7" t="s">
        <v>175</v>
      </c>
      <c r="D46" s="8" t="s">
        <v>176</v>
      </c>
      <c r="E46" s="8" t="s">
        <v>189</v>
      </c>
      <c r="F46" s="8" t="s">
        <v>190</v>
      </c>
      <c r="G46" s="9">
        <v>2</v>
      </c>
      <c r="H46" s="9">
        <v>2</v>
      </c>
      <c r="I46" s="10">
        <f t="shared" si="4"/>
        <v>2</v>
      </c>
      <c r="J46" s="7">
        <f t="shared" si="5"/>
        <v>2</v>
      </c>
      <c r="K46" s="7">
        <f t="shared" si="6"/>
        <v>0</v>
      </c>
      <c r="L46" s="7">
        <f t="shared" si="7"/>
        <v>86</v>
      </c>
      <c r="M46" s="9"/>
      <c r="N46" s="11"/>
    </row>
    <row r="47" spans="1:14" ht="28.3" x14ac:dyDescent="0.4">
      <c r="A47" s="7">
        <v>46</v>
      </c>
      <c r="B47" s="7" t="s">
        <v>191</v>
      </c>
      <c r="C47" s="7" t="s">
        <v>192</v>
      </c>
      <c r="D47" s="8" t="s">
        <v>193</v>
      </c>
      <c r="E47" s="8" t="s">
        <v>194</v>
      </c>
      <c r="F47" s="8" t="s">
        <v>195</v>
      </c>
      <c r="G47" s="9">
        <v>5</v>
      </c>
      <c r="H47" s="9">
        <v>5</v>
      </c>
      <c r="I47" s="10">
        <f t="shared" si="4"/>
        <v>5</v>
      </c>
      <c r="J47" s="7">
        <f t="shared" si="5"/>
        <v>2</v>
      </c>
      <c r="K47" s="7">
        <f t="shared" si="6"/>
        <v>0</v>
      </c>
      <c r="L47" s="7">
        <f t="shared" si="7"/>
        <v>1</v>
      </c>
      <c r="M47" s="9"/>
      <c r="N47" s="11"/>
    </row>
    <row r="48" spans="1:14" ht="28.3" x14ac:dyDescent="0.4">
      <c r="A48" s="7">
        <v>47</v>
      </c>
      <c r="B48" s="7" t="s">
        <v>196</v>
      </c>
      <c r="C48" s="7" t="s">
        <v>192</v>
      </c>
      <c r="D48" s="8" t="s">
        <v>193</v>
      </c>
      <c r="E48" s="8" t="s">
        <v>197</v>
      </c>
      <c r="F48" s="8" t="s">
        <v>198</v>
      </c>
      <c r="G48" s="9">
        <v>3</v>
      </c>
      <c r="H48" s="9">
        <v>3</v>
      </c>
      <c r="I48" s="10">
        <f t="shared" si="4"/>
        <v>3</v>
      </c>
      <c r="J48" s="7">
        <f t="shared" si="5"/>
        <v>2</v>
      </c>
      <c r="K48" s="7">
        <f t="shared" si="6"/>
        <v>0</v>
      </c>
      <c r="L48" s="7">
        <f t="shared" si="7"/>
        <v>56</v>
      </c>
      <c r="M48" s="9"/>
      <c r="N48" s="11"/>
    </row>
    <row r="49" spans="1:14" ht="28.3" x14ac:dyDescent="0.4">
      <c r="A49" s="7">
        <v>48</v>
      </c>
      <c r="B49" s="7" t="s">
        <v>199</v>
      </c>
      <c r="C49" s="7" t="s">
        <v>192</v>
      </c>
      <c r="D49" s="8" t="s">
        <v>193</v>
      </c>
      <c r="E49" s="8" t="s">
        <v>200</v>
      </c>
      <c r="F49" s="8" t="s">
        <v>201</v>
      </c>
      <c r="G49" s="9">
        <v>4</v>
      </c>
      <c r="H49" s="9">
        <v>4</v>
      </c>
      <c r="I49" s="10">
        <f t="shared" si="4"/>
        <v>4</v>
      </c>
      <c r="J49" s="7">
        <f t="shared" si="5"/>
        <v>2</v>
      </c>
      <c r="K49" s="7">
        <f t="shared" si="6"/>
        <v>0</v>
      </c>
      <c r="L49" s="7">
        <f t="shared" si="7"/>
        <v>23</v>
      </c>
      <c r="M49" s="9"/>
      <c r="N49" s="11"/>
    </row>
    <row r="50" spans="1:14" ht="28.3" x14ac:dyDescent="0.4">
      <c r="A50" s="7">
        <v>49</v>
      </c>
      <c r="B50" s="7" t="s">
        <v>202</v>
      </c>
      <c r="C50" s="7" t="s">
        <v>192</v>
      </c>
      <c r="D50" s="8" t="s">
        <v>193</v>
      </c>
      <c r="E50" s="8" t="s">
        <v>203</v>
      </c>
      <c r="F50" s="8" t="s">
        <v>204</v>
      </c>
      <c r="G50" s="9">
        <v>4</v>
      </c>
      <c r="H50" s="9">
        <v>3</v>
      </c>
      <c r="I50" s="10">
        <f t="shared" si="4"/>
        <v>3.5</v>
      </c>
      <c r="J50" s="7">
        <f t="shared" si="5"/>
        <v>2</v>
      </c>
      <c r="K50" s="7">
        <f t="shared" si="6"/>
        <v>1</v>
      </c>
      <c r="L50" s="7">
        <f t="shared" si="7"/>
        <v>38</v>
      </c>
      <c r="M50" s="9"/>
      <c r="N50" s="11"/>
    </row>
    <row r="51" spans="1:14" ht="28.3" x14ac:dyDescent="0.4">
      <c r="A51" s="7">
        <v>50</v>
      </c>
      <c r="B51" s="7" t="s">
        <v>205</v>
      </c>
      <c r="C51" s="7" t="s">
        <v>192</v>
      </c>
      <c r="D51" s="8" t="s">
        <v>193</v>
      </c>
      <c r="E51" s="8" t="s">
        <v>206</v>
      </c>
      <c r="F51" s="8" t="s">
        <v>207</v>
      </c>
      <c r="G51" s="9">
        <v>2</v>
      </c>
      <c r="H51" s="9">
        <v>3</v>
      </c>
      <c r="I51" s="10">
        <f t="shared" si="4"/>
        <v>2.5</v>
      </c>
      <c r="J51" s="7">
        <f t="shared" si="5"/>
        <v>2</v>
      </c>
      <c r="K51" s="7">
        <f t="shared" si="6"/>
        <v>1</v>
      </c>
      <c r="L51" s="7">
        <f t="shared" si="7"/>
        <v>69</v>
      </c>
      <c r="M51" s="9"/>
      <c r="N51" s="11"/>
    </row>
    <row r="52" spans="1:14" ht="28.3" x14ac:dyDescent="0.4">
      <c r="A52" s="7">
        <v>51</v>
      </c>
      <c r="B52" s="7" t="s">
        <v>208</v>
      </c>
      <c r="C52" s="7" t="s">
        <v>209</v>
      </c>
      <c r="D52" s="8" t="s">
        <v>210</v>
      </c>
      <c r="E52" s="8" t="s">
        <v>211</v>
      </c>
      <c r="F52" s="8" t="s">
        <v>212</v>
      </c>
      <c r="G52" s="9">
        <v>3</v>
      </c>
      <c r="H52" s="9">
        <v>3</v>
      </c>
      <c r="I52" s="10">
        <f t="shared" si="4"/>
        <v>3</v>
      </c>
      <c r="J52" s="7">
        <f t="shared" si="5"/>
        <v>2</v>
      </c>
      <c r="K52" s="7">
        <f t="shared" si="6"/>
        <v>0</v>
      </c>
      <c r="L52" s="7">
        <f t="shared" si="7"/>
        <v>56</v>
      </c>
      <c r="M52" s="9"/>
      <c r="N52" s="11"/>
    </row>
    <row r="53" spans="1:14" ht="28.3" x14ac:dyDescent="0.4">
      <c r="A53" s="7">
        <v>52</v>
      </c>
      <c r="B53" s="7" t="s">
        <v>213</v>
      </c>
      <c r="C53" s="7" t="s">
        <v>209</v>
      </c>
      <c r="D53" s="8" t="s">
        <v>210</v>
      </c>
      <c r="E53" s="8" t="s">
        <v>214</v>
      </c>
      <c r="F53" s="8" t="s">
        <v>215</v>
      </c>
      <c r="G53" s="9">
        <v>4</v>
      </c>
      <c r="H53" s="9">
        <v>4</v>
      </c>
      <c r="I53" s="10">
        <f t="shared" si="4"/>
        <v>4</v>
      </c>
      <c r="J53" s="7">
        <f t="shared" si="5"/>
        <v>2</v>
      </c>
      <c r="K53" s="7">
        <f t="shared" si="6"/>
        <v>0</v>
      </c>
      <c r="L53" s="7">
        <f t="shared" si="7"/>
        <v>23</v>
      </c>
      <c r="M53" s="9"/>
      <c r="N53" s="11"/>
    </row>
    <row r="54" spans="1:14" ht="28.3" x14ac:dyDescent="0.4">
      <c r="A54" s="7">
        <v>53</v>
      </c>
      <c r="B54" s="7" t="s">
        <v>216</v>
      </c>
      <c r="C54" s="7" t="s">
        <v>209</v>
      </c>
      <c r="D54" s="8" t="s">
        <v>210</v>
      </c>
      <c r="E54" s="8" t="s">
        <v>217</v>
      </c>
      <c r="F54" s="8" t="s">
        <v>218</v>
      </c>
      <c r="G54" s="9">
        <v>3</v>
      </c>
      <c r="H54" s="9">
        <v>5</v>
      </c>
      <c r="I54" s="10">
        <f t="shared" si="4"/>
        <v>4</v>
      </c>
      <c r="J54" s="7">
        <f t="shared" si="5"/>
        <v>2</v>
      </c>
      <c r="K54" s="7">
        <f t="shared" si="6"/>
        <v>2</v>
      </c>
      <c r="L54" s="7">
        <f t="shared" si="7"/>
        <v>23</v>
      </c>
      <c r="M54" s="9"/>
      <c r="N54" s="12" t="s">
        <v>379</v>
      </c>
    </row>
    <row r="55" spans="1:14" ht="28.3" x14ac:dyDescent="0.4">
      <c r="A55" s="7">
        <v>54</v>
      </c>
      <c r="B55" s="7" t="s">
        <v>219</v>
      </c>
      <c r="C55" s="7" t="s">
        <v>209</v>
      </c>
      <c r="D55" s="8" t="s">
        <v>210</v>
      </c>
      <c r="E55" s="8" t="s">
        <v>220</v>
      </c>
      <c r="F55" s="8" t="s">
        <v>221</v>
      </c>
      <c r="G55" s="9">
        <v>2</v>
      </c>
      <c r="H55" s="9">
        <v>2</v>
      </c>
      <c r="I55" s="10">
        <f t="shared" si="4"/>
        <v>2</v>
      </c>
      <c r="J55" s="7">
        <f t="shared" si="5"/>
        <v>2</v>
      </c>
      <c r="K55" s="7">
        <f t="shared" si="6"/>
        <v>0</v>
      </c>
      <c r="L55" s="7">
        <f t="shared" si="7"/>
        <v>86</v>
      </c>
      <c r="M55" s="9"/>
      <c r="N55" s="11"/>
    </row>
    <row r="56" spans="1:14" ht="28.3" x14ac:dyDescent="0.4">
      <c r="A56" s="7">
        <v>55</v>
      </c>
      <c r="B56" s="7" t="s">
        <v>222</v>
      </c>
      <c r="C56" s="7" t="s">
        <v>209</v>
      </c>
      <c r="D56" s="8" t="s">
        <v>210</v>
      </c>
      <c r="E56" s="8" t="s">
        <v>223</v>
      </c>
      <c r="F56" s="8" t="s">
        <v>224</v>
      </c>
      <c r="G56" s="9">
        <v>4</v>
      </c>
      <c r="H56" s="9">
        <v>3</v>
      </c>
      <c r="I56" s="10">
        <f t="shared" si="4"/>
        <v>3.5</v>
      </c>
      <c r="J56" s="7">
        <f t="shared" si="5"/>
        <v>2</v>
      </c>
      <c r="K56" s="7">
        <f t="shared" si="6"/>
        <v>1</v>
      </c>
      <c r="L56" s="7">
        <f t="shared" si="7"/>
        <v>38</v>
      </c>
      <c r="M56" s="9"/>
      <c r="N56" s="11"/>
    </row>
    <row r="57" spans="1:14" ht="28.3" x14ac:dyDescent="0.4">
      <c r="A57" s="7">
        <v>56</v>
      </c>
      <c r="B57" s="7" t="s">
        <v>225</v>
      </c>
      <c r="C57" s="7" t="s">
        <v>226</v>
      </c>
      <c r="D57" s="8" t="s">
        <v>227</v>
      </c>
      <c r="E57" s="8" t="s">
        <v>228</v>
      </c>
      <c r="F57" s="8" t="s">
        <v>229</v>
      </c>
      <c r="G57" s="9">
        <v>2</v>
      </c>
      <c r="H57" s="9">
        <v>3</v>
      </c>
      <c r="I57" s="10">
        <f t="shared" si="4"/>
        <v>2.5</v>
      </c>
      <c r="J57" s="7">
        <f t="shared" si="5"/>
        <v>2</v>
      </c>
      <c r="K57" s="7">
        <f t="shared" si="6"/>
        <v>1</v>
      </c>
      <c r="L57" s="7">
        <f t="shared" si="7"/>
        <v>69</v>
      </c>
      <c r="M57" s="9"/>
      <c r="N57" s="11"/>
    </row>
    <row r="58" spans="1:14" ht="28.3" x14ac:dyDescent="0.4">
      <c r="A58" s="7">
        <v>57</v>
      </c>
      <c r="B58" s="7" t="s">
        <v>230</v>
      </c>
      <c r="C58" s="7" t="s">
        <v>226</v>
      </c>
      <c r="D58" s="8" t="s">
        <v>227</v>
      </c>
      <c r="E58" s="8" t="s">
        <v>231</v>
      </c>
      <c r="F58" s="8" t="s">
        <v>232</v>
      </c>
      <c r="G58" s="9">
        <v>5</v>
      </c>
      <c r="H58" s="9">
        <v>5</v>
      </c>
      <c r="I58" s="10">
        <f t="shared" si="4"/>
        <v>5</v>
      </c>
      <c r="J58" s="7">
        <f t="shared" si="5"/>
        <v>2</v>
      </c>
      <c r="K58" s="7">
        <f t="shared" si="6"/>
        <v>0</v>
      </c>
      <c r="L58" s="7">
        <f t="shared" si="7"/>
        <v>1</v>
      </c>
      <c r="M58" s="9"/>
      <c r="N58" s="11"/>
    </row>
    <row r="59" spans="1:14" ht="28.3" x14ac:dyDescent="0.4">
      <c r="A59" s="7">
        <v>58</v>
      </c>
      <c r="B59" s="7" t="s">
        <v>233</v>
      </c>
      <c r="C59" s="7" t="s">
        <v>226</v>
      </c>
      <c r="D59" s="8" t="s">
        <v>227</v>
      </c>
      <c r="E59" s="8" t="s">
        <v>234</v>
      </c>
      <c r="F59" s="8" t="s">
        <v>235</v>
      </c>
      <c r="G59" s="9">
        <v>2</v>
      </c>
      <c r="H59" s="9">
        <v>4</v>
      </c>
      <c r="I59" s="10">
        <f t="shared" si="4"/>
        <v>3</v>
      </c>
      <c r="J59" s="7">
        <f t="shared" si="5"/>
        <v>2</v>
      </c>
      <c r="K59" s="7">
        <f t="shared" si="6"/>
        <v>2</v>
      </c>
      <c r="L59" s="7">
        <f t="shared" si="7"/>
        <v>56</v>
      </c>
      <c r="M59" s="9"/>
      <c r="N59" s="12" t="s">
        <v>380</v>
      </c>
    </row>
    <row r="60" spans="1:14" ht="28.3" x14ac:dyDescent="0.4">
      <c r="A60" s="7">
        <v>59</v>
      </c>
      <c r="B60" s="7" t="s">
        <v>236</v>
      </c>
      <c r="C60" s="7" t="s">
        <v>226</v>
      </c>
      <c r="D60" s="8" t="s">
        <v>227</v>
      </c>
      <c r="E60" s="8" t="s">
        <v>237</v>
      </c>
      <c r="F60" s="8" t="s">
        <v>238</v>
      </c>
      <c r="G60" s="9">
        <v>4</v>
      </c>
      <c r="H60" s="9">
        <v>3</v>
      </c>
      <c r="I60" s="10">
        <f t="shared" si="4"/>
        <v>3.5</v>
      </c>
      <c r="J60" s="7">
        <f t="shared" si="5"/>
        <v>2</v>
      </c>
      <c r="K60" s="7">
        <f t="shared" si="6"/>
        <v>1</v>
      </c>
      <c r="L60" s="7">
        <f t="shared" si="7"/>
        <v>38</v>
      </c>
      <c r="M60" s="9"/>
      <c r="N60" s="11"/>
    </row>
    <row r="61" spans="1:14" ht="28.3" x14ac:dyDescent="0.4">
      <c r="A61" s="7">
        <v>60</v>
      </c>
      <c r="B61" s="7" t="s">
        <v>239</v>
      </c>
      <c r="C61" s="7" t="s">
        <v>226</v>
      </c>
      <c r="D61" s="8" t="s">
        <v>227</v>
      </c>
      <c r="E61" s="8" t="s">
        <v>240</v>
      </c>
      <c r="F61" s="8" t="s">
        <v>241</v>
      </c>
      <c r="G61" s="9">
        <v>3</v>
      </c>
      <c r="H61" s="9">
        <v>3</v>
      </c>
      <c r="I61" s="10">
        <f t="shared" si="4"/>
        <v>3</v>
      </c>
      <c r="J61" s="7">
        <f t="shared" si="5"/>
        <v>2</v>
      </c>
      <c r="K61" s="7">
        <f t="shared" si="6"/>
        <v>0</v>
      </c>
      <c r="L61" s="7">
        <f t="shared" si="7"/>
        <v>56</v>
      </c>
      <c r="M61" s="9"/>
      <c r="N61" s="11"/>
    </row>
    <row r="62" spans="1:14" ht="28.3" x14ac:dyDescent="0.4">
      <c r="A62" s="7">
        <v>61</v>
      </c>
      <c r="B62" s="7" t="s">
        <v>242</v>
      </c>
      <c r="C62" s="7" t="s">
        <v>243</v>
      </c>
      <c r="D62" s="8" t="s">
        <v>244</v>
      </c>
      <c r="E62" s="8" t="s">
        <v>245</v>
      </c>
      <c r="F62" s="8" t="s">
        <v>246</v>
      </c>
      <c r="G62" s="9">
        <v>5</v>
      </c>
      <c r="H62" s="9">
        <v>4</v>
      </c>
      <c r="I62" s="10">
        <f t="shared" si="4"/>
        <v>4.5</v>
      </c>
      <c r="J62" s="7">
        <f t="shared" si="5"/>
        <v>2</v>
      </c>
      <c r="K62" s="7">
        <f t="shared" si="6"/>
        <v>1</v>
      </c>
      <c r="L62" s="7">
        <f t="shared" si="7"/>
        <v>10</v>
      </c>
      <c r="M62" s="9"/>
      <c r="N62" s="11"/>
    </row>
    <row r="63" spans="1:14" ht="28.3" x14ac:dyDescent="0.4">
      <c r="A63" s="7">
        <v>62</v>
      </c>
      <c r="B63" s="7" t="s">
        <v>247</v>
      </c>
      <c r="C63" s="7" t="s">
        <v>243</v>
      </c>
      <c r="D63" s="8" t="s">
        <v>244</v>
      </c>
      <c r="E63" s="8" t="s">
        <v>248</v>
      </c>
      <c r="F63" s="8" t="s">
        <v>249</v>
      </c>
      <c r="G63" s="9">
        <v>3</v>
      </c>
      <c r="H63" s="9">
        <v>4</v>
      </c>
      <c r="I63" s="10">
        <f t="shared" si="4"/>
        <v>3.5</v>
      </c>
      <c r="J63" s="7">
        <f t="shared" si="5"/>
        <v>2</v>
      </c>
      <c r="K63" s="7">
        <f t="shared" si="6"/>
        <v>1</v>
      </c>
      <c r="L63" s="7">
        <f t="shared" si="7"/>
        <v>38</v>
      </c>
      <c r="M63" s="9"/>
      <c r="N63" s="11"/>
    </row>
    <row r="64" spans="1:14" ht="28.3" x14ac:dyDescent="0.4">
      <c r="A64" s="7">
        <v>63</v>
      </c>
      <c r="B64" s="7" t="s">
        <v>250</v>
      </c>
      <c r="C64" s="7" t="s">
        <v>243</v>
      </c>
      <c r="D64" s="8" t="s">
        <v>244</v>
      </c>
      <c r="E64" s="8" t="s">
        <v>251</v>
      </c>
      <c r="F64" s="8" t="s">
        <v>252</v>
      </c>
      <c r="G64" s="9">
        <v>4</v>
      </c>
      <c r="H64" s="9">
        <v>3</v>
      </c>
      <c r="I64" s="10">
        <f t="shared" si="4"/>
        <v>3.5</v>
      </c>
      <c r="J64" s="7">
        <f t="shared" si="5"/>
        <v>2</v>
      </c>
      <c r="K64" s="7">
        <f t="shared" si="6"/>
        <v>1</v>
      </c>
      <c r="L64" s="7">
        <f t="shared" si="7"/>
        <v>38</v>
      </c>
      <c r="M64" s="9"/>
      <c r="N64" s="11"/>
    </row>
    <row r="65" spans="1:14" ht="28.3" x14ac:dyDescent="0.4">
      <c r="A65" s="7">
        <v>64</v>
      </c>
      <c r="B65" s="7" t="s">
        <v>253</v>
      </c>
      <c r="C65" s="7" t="s">
        <v>243</v>
      </c>
      <c r="D65" s="8" t="s">
        <v>244</v>
      </c>
      <c r="E65" s="8" t="s">
        <v>254</v>
      </c>
      <c r="F65" s="8" t="s">
        <v>255</v>
      </c>
      <c r="G65" s="9">
        <v>2</v>
      </c>
      <c r="H65" s="9">
        <v>3</v>
      </c>
      <c r="I65" s="10">
        <f t="shared" si="4"/>
        <v>2.5</v>
      </c>
      <c r="J65" s="7">
        <f t="shared" si="5"/>
        <v>2</v>
      </c>
      <c r="K65" s="7">
        <f t="shared" si="6"/>
        <v>1</v>
      </c>
      <c r="L65" s="7">
        <f t="shared" si="7"/>
        <v>69</v>
      </c>
      <c r="M65" s="9"/>
      <c r="N65" s="11"/>
    </row>
    <row r="66" spans="1:14" ht="28.3" x14ac:dyDescent="0.4">
      <c r="A66" s="7">
        <v>65</v>
      </c>
      <c r="B66" s="7" t="s">
        <v>256</v>
      </c>
      <c r="C66" s="7" t="s">
        <v>243</v>
      </c>
      <c r="D66" s="8" t="s">
        <v>244</v>
      </c>
      <c r="E66" s="8" t="s">
        <v>257</v>
      </c>
      <c r="F66" s="8" t="s">
        <v>258</v>
      </c>
      <c r="G66" s="9">
        <v>4</v>
      </c>
      <c r="H66" s="9">
        <v>4</v>
      </c>
      <c r="I66" s="10">
        <f t="shared" ref="I66:I97" si="8">IF(COUNT(G66:H66)=0,"",ROUND(AVERAGE(G66:H66),2))</f>
        <v>4</v>
      </c>
      <c r="J66" s="7">
        <f t="shared" ref="J66:J101" si="9">COUNT(G66:H66)</f>
        <v>2</v>
      </c>
      <c r="K66" s="7">
        <f t="shared" ref="K66:K101" si="10">IF(COUNT(G66:H66)&lt;2,"",ABS(G66-H66))</f>
        <v>0</v>
      </c>
      <c r="L66" s="7">
        <f t="shared" ref="L66:L101" si="11">IF(I66="","",RANK(I66,$I$2:$I$101))</f>
        <v>23</v>
      </c>
      <c r="M66" s="9"/>
      <c r="N66" s="11"/>
    </row>
    <row r="67" spans="1:14" ht="28.3" x14ac:dyDescent="0.4">
      <c r="A67" s="7">
        <v>66</v>
      </c>
      <c r="B67" s="7" t="s">
        <v>259</v>
      </c>
      <c r="C67" s="7" t="s">
        <v>260</v>
      </c>
      <c r="D67" s="8" t="s">
        <v>261</v>
      </c>
      <c r="E67" s="8" t="s">
        <v>262</v>
      </c>
      <c r="F67" s="8" t="s">
        <v>263</v>
      </c>
      <c r="G67" s="9">
        <v>4</v>
      </c>
      <c r="H67" s="9">
        <v>4</v>
      </c>
      <c r="I67" s="10">
        <f t="shared" si="8"/>
        <v>4</v>
      </c>
      <c r="J67" s="7">
        <f t="shared" si="9"/>
        <v>2</v>
      </c>
      <c r="K67" s="7">
        <f t="shared" si="10"/>
        <v>0</v>
      </c>
      <c r="L67" s="7">
        <f t="shared" si="11"/>
        <v>23</v>
      </c>
      <c r="M67" s="9"/>
      <c r="N67" s="11"/>
    </row>
    <row r="68" spans="1:14" ht="28.3" x14ac:dyDescent="0.4">
      <c r="A68" s="7">
        <v>67</v>
      </c>
      <c r="B68" s="7" t="s">
        <v>264</v>
      </c>
      <c r="C68" s="7" t="s">
        <v>260</v>
      </c>
      <c r="D68" s="8" t="s">
        <v>261</v>
      </c>
      <c r="E68" s="8" t="s">
        <v>265</v>
      </c>
      <c r="F68" s="8" t="s">
        <v>266</v>
      </c>
      <c r="G68" s="9">
        <v>3</v>
      </c>
      <c r="H68" s="9">
        <v>4</v>
      </c>
      <c r="I68" s="10">
        <f t="shared" si="8"/>
        <v>3.5</v>
      </c>
      <c r="J68" s="7">
        <f t="shared" si="9"/>
        <v>2</v>
      </c>
      <c r="K68" s="7">
        <f t="shared" si="10"/>
        <v>1</v>
      </c>
      <c r="L68" s="7">
        <f t="shared" si="11"/>
        <v>38</v>
      </c>
      <c r="M68" s="9"/>
      <c r="N68" s="11"/>
    </row>
    <row r="69" spans="1:14" ht="28.3" x14ac:dyDescent="0.4">
      <c r="A69" s="7">
        <v>68</v>
      </c>
      <c r="B69" s="7" t="s">
        <v>267</v>
      </c>
      <c r="C69" s="7" t="s">
        <v>260</v>
      </c>
      <c r="D69" s="8" t="s">
        <v>261</v>
      </c>
      <c r="E69" s="8" t="s">
        <v>268</v>
      </c>
      <c r="F69" s="8" t="s">
        <v>269</v>
      </c>
      <c r="G69" s="9">
        <v>2</v>
      </c>
      <c r="H69" s="9">
        <v>3</v>
      </c>
      <c r="I69" s="10">
        <f t="shared" si="8"/>
        <v>2.5</v>
      </c>
      <c r="J69" s="7">
        <f t="shared" si="9"/>
        <v>2</v>
      </c>
      <c r="K69" s="7">
        <f t="shared" si="10"/>
        <v>1</v>
      </c>
      <c r="L69" s="7">
        <f t="shared" si="11"/>
        <v>69</v>
      </c>
      <c r="M69" s="9"/>
      <c r="N69" s="11"/>
    </row>
    <row r="70" spans="1:14" ht="28.3" x14ac:dyDescent="0.4">
      <c r="A70" s="7">
        <v>69</v>
      </c>
      <c r="B70" s="7" t="s">
        <v>270</v>
      </c>
      <c r="C70" s="7" t="s">
        <v>260</v>
      </c>
      <c r="D70" s="8" t="s">
        <v>261</v>
      </c>
      <c r="E70" s="8" t="s">
        <v>271</v>
      </c>
      <c r="F70" s="8" t="s">
        <v>272</v>
      </c>
      <c r="G70" s="9">
        <v>2</v>
      </c>
      <c r="H70" s="9">
        <v>1</v>
      </c>
      <c r="I70" s="10">
        <f t="shared" si="8"/>
        <v>1.5</v>
      </c>
      <c r="J70" s="7">
        <f t="shared" si="9"/>
        <v>2</v>
      </c>
      <c r="K70" s="7">
        <f t="shared" si="10"/>
        <v>1</v>
      </c>
      <c r="L70" s="7">
        <f t="shared" si="11"/>
        <v>96</v>
      </c>
      <c r="M70" s="9"/>
      <c r="N70" s="11"/>
    </row>
    <row r="71" spans="1:14" ht="28.3" x14ac:dyDescent="0.4">
      <c r="A71" s="7">
        <v>70</v>
      </c>
      <c r="B71" s="7" t="s">
        <v>273</v>
      </c>
      <c r="C71" s="7" t="s">
        <v>260</v>
      </c>
      <c r="D71" s="8" t="s">
        <v>261</v>
      </c>
      <c r="E71" s="8" t="s">
        <v>274</v>
      </c>
      <c r="F71" s="8" t="s">
        <v>275</v>
      </c>
      <c r="G71" s="9">
        <v>3</v>
      </c>
      <c r="H71" s="9">
        <v>2</v>
      </c>
      <c r="I71" s="10">
        <f t="shared" si="8"/>
        <v>2.5</v>
      </c>
      <c r="J71" s="7">
        <f t="shared" si="9"/>
        <v>2</v>
      </c>
      <c r="K71" s="7">
        <f t="shared" si="10"/>
        <v>1</v>
      </c>
      <c r="L71" s="7">
        <f t="shared" si="11"/>
        <v>69</v>
      </c>
      <c r="M71" s="9"/>
      <c r="N71" s="11"/>
    </row>
    <row r="72" spans="1:14" ht="28.3" x14ac:dyDescent="0.4">
      <c r="A72" s="7">
        <v>71</v>
      </c>
      <c r="B72" s="7" t="s">
        <v>276</v>
      </c>
      <c r="C72" s="7" t="s">
        <v>277</v>
      </c>
      <c r="D72" s="8" t="s">
        <v>278</v>
      </c>
      <c r="E72" s="8" t="s">
        <v>279</v>
      </c>
      <c r="F72" s="8" t="s">
        <v>280</v>
      </c>
      <c r="G72" s="9">
        <v>5</v>
      </c>
      <c r="H72" s="9">
        <v>5</v>
      </c>
      <c r="I72" s="10">
        <f t="shared" si="8"/>
        <v>5</v>
      </c>
      <c r="J72" s="7">
        <f t="shared" si="9"/>
        <v>2</v>
      </c>
      <c r="K72" s="7">
        <f t="shared" si="10"/>
        <v>0</v>
      </c>
      <c r="L72" s="7">
        <f t="shared" si="11"/>
        <v>1</v>
      </c>
      <c r="M72" s="9"/>
      <c r="N72" s="11"/>
    </row>
    <row r="73" spans="1:14" ht="28.3" x14ac:dyDescent="0.4">
      <c r="A73" s="7">
        <v>72</v>
      </c>
      <c r="B73" s="7" t="s">
        <v>281</v>
      </c>
      <c r="C73" s="7" t="s">
        <v>277</v>
      </c>
      <c r="D73" s="8" t="s">
        <v>278</v>
      </c>
      <c r="E73" s="8" t="s">
        <v>282</v>
      </c>
      <c r="F73" s="8" t="s">
        <v>283</v>
      </c>
      <c r="G73" s="9">
        <v>3</v>
      </c>
      <c r="H73" s="9">
        <v>4</v>
      </c>
      <c r="I73" s="10">
        <f t="shared" si="8"/>
        <v>3.5</v>
      </c>
      <c r="J73" s="7">
        <f t="shared" si="9"/>
        <v>2</v>
      </c>
      <c r="K73" s="7">
        <f t="shared" si="10"/>
        <v>1</v>
      </c>
      <c r="L73" s="7">
        <f t="shared" si="11"/>
        <v>38</v>
      </c>
      <c r="M73" s="9"/>
      <c r="N73" s="11"/>
    </row>
    <row r="74" spans="1:14" x14ac:dyDescent="0.4">
      <c r="A74" s="7">
        <v>73</v>
      </c>
      <c r="B74" s="7" t="s">
        <v>284</v>
      </c>
      <c r="C74" s="7" t="s">
        <v>277</v>
      </c>
      <c r="D74" s="8" t="s">
        <v>278</v>
      </c>
      <c r="E74" s="8" t="s">
        <v>285</v>
      </c>
      <c r="F74" s="8" t="s">
        <v>286</v>
      </c>
      <c r="G74" s="9">
        <v>2</v>
      </c>
      <c r="H74" s="9">
        <v>2</v>
      </c>
      <c r="I74" s="10">
        <f t="shared" si="8"/>
        <v>2</v>
      </c>
      <c r="J74" s="7">
        <f t="shared" si="9"/>
        <v>2</v>
      </c>
      <c r="K74" s="7">
        <f t="shared" si="10"/>
        <v>0</v>
      </c>
      <c r="L74" s="7">
        <f t="shared" si="11"/>
        <v>86</v>
      </c>
      <c r="M74" s="9"/>
      <c r="N74" s="11"/>
    </row>
    <row r="75" spans="1:14" ht="28.3" x14ac:dyDescent="0.4">
      <c r="A75" s="7">
        <v>74</v>
      </c>
      <c r="B75" s="7" t="s">
        <v>287</v>
      </c>
      <c r="C75" s="7" t="s">
        <v>277</v>
      </c>
      <c r="D75" s="8" t="s">
        <v>278</v>
      </c>
      <c r="E75" s="8" t="s">
        <v>288</v>
      </c>
      <c r="F75" s="8" t="s">
        <v>289</v>
      </c>
      <c r="G75" s="9">
        <v>2</v>
      </c>
      <c r="H75" s="9">
        <v>3</v>
      </c>
      <c r="I75" s="10">
        <f t="shared" si="8"/>
        <v>2.5</v>
      </c>
      <c r="J75" s="7">
        <f t="shared" si="9"/>
        <v>2</v>
      </c>
      <c r="K75" s="7">
        <f t="shared" si="10"/>
        <v>1</v>
      </c>
      <c r="L75" s="7">
        <f t="shared" si="11"/>
        <v>69</v>
      </c>
      <c r="M75" s="9"/>
      <c r="N75" s="11"/>
    </row>
    <row r="76" spans="1:14" ht="28.3" x14ac:dyDescent="0.4">
      <c r="A76" s="7">
        <v>75</v>
      </c>
      <c r="B76" s="7" t="s">
        <v>290</v>
      </c>
      <c r="C76" s="7" t="s">
        <v>277</v>
      </c>
      <c r="D76" s="8" t="s">
        <v>278</v>
      </c>
      <c r="E76" s="8" t="s">
        <v>291</v>
      </c>
      <c r="F76" s="8" t="s">
        <v>292</v>
      </c>
      <c r="G76" s="9">
        <v>2</v>
      </c>
      <c r="H76" s="9">
        <v>2</v>
      </c>
      <c r="I76" s="10">
        <f t="shared" si="8"/>
        <v>2</v>
      </c>
      <c r="J76" s="7">
        <f t="shared" si="9"/>
        <v>2</v>
      </c>
      <c r="K76" s="7">
        <f t="shared" si="10"/>
        <v>0</v>
      </c>
      <c r="L76" s="7">
        <f t="shared" si="11"/>
        <v>86</v>
      </c>
      <c r="M76" s="9"/>
      <c r="N76" s="11"/>
    </row>
    <row r="77" spans="1:14" ht="28.3" x14ac:dyDescent="0.4">
      <c r="A77" s="7">
        <v>76</v>
      </c>
      <c r="B77" s="7" t="s">
        <v>293</v>
      </c>
      <c r="C77" s="7" t="s">
        <v>294</v>
      </c>
      <c r="D77" s="8" t="s">
        <v>295</v>
      </c>
      <c r="E77" s="8" t="s">
        <v>296</v>
      </c>
      <c r="F77" s="8" t="s">
        <v>297</v>
      </c>
      <c r="G77" s="9">
        <v>4</v>
      </c>
      <c r="H77" s="9">
        <v>4</v>
      </c>
      <c r="I77" s="10">
        <f t="shared" si="8"/>
        <v>4</v>
      </c>
      <c r="J77" s="7">
        <f t="shared" si="9"/>
        <v>2</v>
      </c>
      <c r="K77" s="7">
        <f t="shared" si="10"/>
        <v>0</v>
      </c>
      <c r="L77" s="7">
        <f t="shared" si="11"/>
        <v>23</v>
      </c>
      <c r="M77" s="9"/>
      <c r="N77" s="11"/>
    </row>
    <row r="78" spans="1:14" ht="28.3" x14ac:dyDescent="0.4">
      <c r="A78" s="7">
        <v>77</v>
      </c>
      <c r="B78" s="7" t="s">
        <v>298</v>
      </c>
      <c r="C78" s="7" t="s">
        <v>294</v>
      </c>
      <c r="D78" s="8" t="s">
        <v>295</v>
      </c>
      <c r="E78" s="8" t="s">
        <v>299</v>
      </c>
      <c r="F78" s="8" t="s">
        <v>300</v>
      </c>
      <c r="G78" s="9">
        <v>4</v>
      </c>
      <c r="H78" s="9">
        <v>3</v>
      </c>
      <c r="I78" s="10">
        <f t="shared" si="8"/>
        <v>3.5</v>
      </c>
      <c r="J78" s="7">
        <f t="shared" si="9"/>
        <v>2</v>
      </c>
      <c r="K78" s="7">
        <f t="shared" si="10"/>
        <v>1</v>
      </c>
      <c r="L78" s="7">
        <f t="shared" si="11"/>
        <v>38</v>
      </c>
      <c r="M78" s="9"/>
      <c r="N78" s="11"/>
    </row>
    <row r="79" spans="1:14" ht="28.3" x14ac:dyDescent="0.4">
      <c r="A79" s="7">
        <v>78</v>
      </c>
      <c r="B79" s="7" t="s">
        <v>301</v>
      </c>
      <c r="C79" s="7" t="s">
        <v>294</v>
      </c>
      <c r="D79" s="8" t="s">
        <v>295</v>
      </c>
      <c r="E79" s="8" t="s">
        <v>302</v>
      </c>
      <c r="F79" s="8" t="s">
        <v>303</v>
      </c>
      <c r="G79" s="9">
        <v>2</v>
      </c>
      <c r="H79" s="9">
        <v>3</v>
      </c>
      <c r="I79" s="10">
        <f t="shared" si="8"/>
        <v>2.5</v>
      </c>
      <c r="J79" s="7">
        <f t="shared" si="9"/>
        <v>2</v>
      </c>
      <c r="K79" s="7">
        <f t="shared" si="10"/>
        <v>1</v>
      </c>
      <c r="L79" s="7">
        <f t="shared" si="11"/>
        <v>69</v>
      </c>
      <c r="M79" s="9"/>
      <c r="N79" s="11"/>
    </row>
    <row r="80" spans="1:14" ht="28.3" x14ac:dyDescent="0.4">
      <c r="A80" s="7">
        <v>79</v>
      </c>
      <c r="B80" s="7" t="s">
        <v>304</v>
      </c>
      <c r="C80" s="7" t="s">
        <v>294</v>
      </c>
      <c r="D80" s="8" t="s">
        <v>295</v>
      </c>
      <c r="E80" s="8" t="s">
        <v>305</v>
      </c>
      <c r="F80" s="8" t="s">
        <v>306</v>
      </c>
      <c r="G80" s="9">
        <v>2</v>
      </c>
      <c r="H80" s="9">
        <v>1</v>
      </c>
      <c r="I80" s="10">
        <f t="shared" si="8"/>
        <v>1.5</v>
      </c>
      <c r="J80" s="7">
        <f t="shared" si="9"/>
        <v>2</v>
      </c>
      <c r="K80" s="7">
        <f t="shared" si="10"/>
        <v>1</v>
      </c>
      <c r="L80" s="7">
        <f t="shared" si="11"/>
        <v>96</v>
      </c>
      <c r="M80" s="9"/>
      <c r="N80" s="11"/>
    </row>
    <row r="81" spans="1:14" ht="28.3" x14ac:dyDescent="0.4">
      <c r="A81" s="7">
        <v>80</v>
      </c>
      <c r="B81" s="7" t="s">
        <v>307</v>
      </c>
      <c r="C81" s="7" t="s">
        <v>294</v>
      </c>
      <c r="D81" s="8" t="s">
        <v>295</v>
      </c>
      <c r="E81" s="8" t="s">
        <v>308</v>
      </c>
      <c r="F81" s="8" t="s">
        <v>309</v>
      </c>
      <c r="G81" s="9">
        <v>3</v>
      </c>
      <c r="H81" s="9">
        <v>3</v>
      </c>
      <c r="I81" s="10">
        <f t="shared" si="8"/>
        <v>3</v>
      </c>
      <c r="J81" s="7">
        <f t="shared" si="9"/>
        <v>2</v>
      </c>
      <c r="K81" s="7">
        <f t="shared" si="10"/>
        <v>0</v>
      </c>
      <c r="L81" s="7">
        <f t="shared" si="11"/>
        <v>56</v>
      </c>
      <c r="M81" s="9"/>
      <c r="N81" s="11"/>
    </row>
    <row r="82" spans="1:14" ht="42.45" x14ac:dyDescent="0.4">
      <c r="A82" s="7">
        <v>81</v>
      </c>
      <c r="B82" s="7" t="s">
        <v>310</v>
      </c>
      <c r="C82" s="7" t="s">
        <v>311</v>
      </c>
      <c r="D82" s="8" t="s">
        <v>312</v>
      </c>
      <c r="E82" s="8" t="s">
        <v>313</v>
      </c>
      <c r="F82" s="8" t="s">
        <v>314</v>
      </c>
      <c r="G82" s="9">
        <v>4</v>
      </c>
      <c r="H82" s="9">
        <v>5</v>
      </c>
      <c r="I82" s="10">
        <f t="shared" si="8"/>
        <v>4.5</v>
      </c>
      <c r="J82" s="7">
        <f t="shared" si="9"/>
        <v>2</v>
      </c>
      <c r="K82" s="7">
        <f t="shared" si="10"/>
        <v>1</v>
      </c>
      <c r="L82" s="7">
        <f t="shared" si="11"/>
        <v>10</v>
      </c>
      <c r="M82" s="9"/>
      <c r="N82" s="11"/>
    </row>
    <row r="83" spans="1:14" ht="28.3" x14ac:dyDescent="0.4">
      <c r="A83" s="7">
        <v>82</v>
      </c>
      <c r="B83" s="7" t="s">
        <v>315</v>
      </c>
      <c r="C83" s="7" t="s">
        <v>311</v>
      </c>
      <c r="D83" s="8" t="s">
        <v>312</v>
      </c>
      <c r="E83" s="8" t="s">
        <v>316</v>
      </c>
      <c r="F83" s="8" t="s">
        <v>317</v>
      </c>
      <c r="G83" s="9">
        <v>4</v>
      </c>
      <c r="H83" s="9">
        <v>4</v>
      </c>
      <c r="I83" s="10">
        <f t="shared" si="8"/>
        <v>4</v>
      </c>
      <c r="J83" s="7">
        <f t="shared" si="9"/>
        <v>2</v>
      </c>
      <c r="K83" s="7">
        <f t="shared" si="10"/>
        <v>0</v>
      </c>
      <c r="L83" s="7">
        <f t="shared" si="11"/>
        <v>23</v>
      </c>
      <c r="M83" s="9"/>
      <c r="N83" s="11"/>
    </row>
    <row r="84" spans="1:14" ht="28.3" x14ac:dyDescent="0.4">
      <c r="A84" s="7">
        <v>83</v>
      </c>
      <c r="B84" s="7" t="s">
        <v>318</v>
      </c>
      <c r="C84" s="7" t="s">
        <v>311</v>
      </c>
      <c r="D84" s="8" t="s">
        <v>312</v>
      </c>
      <c r="E84" s="8" t="s">
        <v>319</v>
      </c>
      <c r="F84" s="8" t="s">
        <v>320</v>
      </c>
      <c r="G84" s="9">
        <v>3</v>
      </c>
      <c r="H84" s="9">
        <v>4</v>
      </c>
      <c r="I84" s="10">
        <f t="shared" si="8"/>
        <v>3.5</v>
      </c>
      <c r="J84" s="7">
        <f t="shared" si="9"/>
        <v>2</v>
      </c>
      <c r="K84" s="7">
        <f t="shared" si="10"/>
        <v>1</v>
      </c>
      <c r="L84" s="7">
        <f t="shared" si="11"/>
        <v>38</v>
      </c>
      <c r="M84" s="9"/>
      <c r="N84" s="11"/>
    </row>
    <row r="85" spans="1:14" ht="28.3" x14ac:dyDescent="0.4">
      <c r="A85" s="7">
        <v>84</v>
      </c>
      <c r="B85" s="7" t="s">
        <v>321</v>
      </c>
      <c r="C85" s="7" t="s">
        <v>311</v>
      </c>
      <c r="D85" s="8" t="s">
        <v>312</v>
      </c>
      <c r="E85" s="8" t="s">
        <v>322</v>
      </c>
      <c r="F85" s="8" t="s">
        <v>323</v>
      </c>
      <c r="G85" s="9">
        <v>3</v>
      </c>
      <c r="H85" s="9">
        <v>2</v>
      </c>
      <c r="I85" s="10">
        <f t="shared" si="8"/>
        <v>2.5</v>
      </c>
      <c r="J85" s="7">
        <f t="shared" si="9"/>
        <v>2</v>
      </c>
      <c r="K85" s="7">
        <f t="shared" si="10"/>
        <v>1</v>
      </c>
      <c r="L85" s="7">
        <f t="shared" si="11"/>
        <v>69</v>
      </c>
      <c r="M85" s="9"/>
      <c r="N85" s="11"/>
    </row>
    <row r="86" spans="1:14" ht="42.45" x14ac:dyDescent="0.4">
      <c r="A86" s="7">
        <v>85</v>
      </c>
      <c r="B86" s="7" t="s">
        <v>324</v>
      </c>
      <c r="C86" s="7" t="s">
        <v>311</v>
      </c>
      <c r="D86" s="8" t="s">
        <v>312</v>
      </c>
      <c r="E86" s="8" t="s">
        <v>325</v>
      </c>
      <c r="F86" s="8" t="s">
        <v>326</v>
      </c>
      <c r="G86" s="9">
        <v>4</v>
      </c>
      <c r="H86" s="9">
        <v>4</v>
      </c>
      <c r="I86" s="10">
        <f t="shared" si="8"/>
        <v>4</v>
      </c>
      <c r="J86" s="7">
        <f t="shared" si="9"/>
        <v>2</v>
      </c>
      <c r="K86" s="7">
        <f t="shared" si="10"/>
        <v>0</v>
      </c>
      <c r="L86" s="7">
        <f t="shared" si="11"/>
        <v>23</v>
      </c>
      <c r="M86" s="9"/>
      <c r="N86" s="11"/>
    </row>
    <row r="87" spans="1:14" ht="28.3" x14ac:dyDescent="0.4">
      <c r="A87" s="7">
        <v>86</v>
      </c>
      <c r="B87" s="7" t="s">
        <v>327</v>
      </c>
      <c r="C87" s="7" t="s">
        <v>328</v>
      </c>
      <c r="D87" s="8" t="s">
        <v>329</v>
      </c>
      <c r="E87" s="8" t="s">
        <v>330</v>
      </c>
      <c r="F87" s="8" t="s">
        <v>331</v>
      </c>
      <c r="G87" s="9">
        <v>5</v>
      </c>
      <c r="H87" s="9">
        <v>4</v>
      </c>
      <c r="I87" s="10">
        <f t="shared" si="8"/>
        <v>4.5</v>
      </c>
      <c r="J87" s="7">
        <f t="shared" si="9"/>
        <v>2</v>
      </c>
      <c r="K87" s="7">
        <f t="shared" si="10"/>
        <v>1</v>
      </c>
      <c r="L87" s="7">
        <f t="shared" si="11"/>
        <v>10</v>
      </c>
      <c r="M87" s="9"/>
      <c r="N87" s="11"/>
    </row>
    <row r="88" spans="1:14" ht="28.3" x14ac:dyDescent="0.4">
      <c r="A88" s="7">
        <v>87</v>
      </c>
      <c r="B88" s="7" t="s">
        <v>332</v>
      </c>
      <c r="C88" s="7" t="s">
        <v>328</v>
      </c>
      <c r="D88" s="8" t="s">
        <v>329</v>
      </c>
      <c r="E88" s="8" t="s">
        <v>333</v>
      </c>
      <c r="F88" s="8" t="s">
        <v>334</v>
      </c>
      <c r="G88" s="9">
        <v>3</v>
      </c>
      <c r="H88" s="9">
        <v>3</v>
      </c>
      <c r="I88" s="10">
        <f t="shared" si="8"/>
        <v>3</v>
      </c>
      <c r="J88" s="7">
        <f t="shared" si="9"/>
        <v>2</v>
      </c>
      <c r="K88" s="7">
        <f t="shared" si="10"/>
        <v>0</v>
      </c>
      <c r="L88" s="7">
        <f t="shared" si="11"/>
        <v>56</v>
      </c>
      <c r="M88" s="9"/>
      <c r="N88" s="11"/>
    </row>
    <row r="89" spans="1:14" ht="28.3" x14ac:dyDescent="0.4">
      <c r="A89" s="7">
        <v>88</v>
      </c>
      <c r="B89" s="7" t="s">
        <v>335</v>
      </c>
      <c r="C89" s="7" t="s">
        <v>328</v>
      </c>
      <c r="D89" s="8" t="s">
        <v>329</v>
      </c>
      <c r="E89" s="8" t="s">
        <v>336</v>
      </c>
      <c r="F89" s="8" t="s">
        <v>337</v>
      </c>
      <c r="G89" s="9">
        <v>2</v>
      </c>
      <c r="H89" s="9">
        <v>3</v>
      </c>
      <c r="I89" s="10">
        <f t="shared" si="8"/>
        <v>2.5</v>
      </c>
      <c r="J89" s="7">
        <f t="shared" si="9"/>
        <v>2</v>
      </c>
      <c r="K89" s="7">
        <f t="shared" si="10"/>
        <v>1</v>
      </c>
      <c r="L89" s="7">
        <f t="shared" si="11"/>
        <v>69</v>
      </c>
      <c r="M89" s="9"/>
      <c r="N89" s="11"/>
    </row>
    <row r="90" spans="1:14" ht="28.3" x14ac:dyDescent="0.4">
      <c r="A90" s="7">
        <v>89</v>
      </c>
      <c r="B90" s="7" t="s">
        <v>338</v>
      </c>
      <c r="C90" s="7" t="s">
        <v>328</v>
      </c>
      <c r="D90" s="8" t="s">
        <v>329</v>
      </c>
      <c r="E90" s="8" t="s">
        <v>339</v>
      </c>
      <c r="F90" s="8" t="s">
        <v>340</v>
      </c>
      <c r="G90" s="9">
        <v>3</v>
      </c>
      <c r="H90" s="9">
        <v>2</v>
      </c>
      <c r="I90" s="10">
        <f t="shared" si="8"/>
        <v>2.5</v>
      </c>
      <c r="J90" s="7">
        <f t="shared" si="9"/>
        <v>2</v>
      </c>
      <c r="K90" s="7">
        <f t="shared" si="10"/>
        <v>1</v>
      </c>
      <c r="L90" s="7">
        <f t="shared" si="11"/>
        <v>69</v>
      </c>
      <c r="M90" s="9"/>
      <c r="N90" s="11"/>
    </row>
    <row r="91" spans="1:14" ht="28.3" x14ac:dyDescent="0.4">
      <c r="A91" s="7">
        <v>90</v>
      </c>
      <c r="B91" s="7" t="s">
        <v>341</v>
      </c>
      <c r="C91" s="7" t="s">
        <v>328</v>
      </c>
      <c r="D91" s="8" t="s">
        <v>329</v>
      </c>
      <c r="E91" s="8" t="s">
        <v>342</v>
      </c>
      <c r="F91" s="8" t="s">
        <v>343</v>
      </c>
      <c r="G91" s="9">
        <v>3</v>
      </c>
      <c r="H91" s="9">
        <v>4</v>
      </c>
      <c r="I91" s="10">
        <f t="shared" si="8"/>
        <v>3.5</v>
      </c>
      <c r="J91" s="7">
        <f t="shared" si="9"/>
        <v>2</v>
      </c>
      <c r="K91" s="7">
        <f t="shared" si="10"/>
        <v>1</v>
      </c>
      <c r="L91" s="7">
        <f t="shared" si="11"/>
        <v>38</v>
      </c>
      <c r="M91" s="9"/>
      <c r="N91" s="11"/>
    </row>
    <row r="92" spans="1:14" ht="28.3" x14ac:dyDescent="0.4">
      <c r="A92" s="7">
        <v>91</v>
      </c>
      <c r="B92" s="7" t="s">
        <v>344</v>
      </c>
      <c r="C92" s="7" t="s">
        <v>345</v>
      </c>
      <c r="D92" s="8" t="s">
        <v>346</v>
      </c>
      <c r="E92" s="8" t="s">
        <v>347</v>
      </c>
      <c r="F92" s="8" t="s">
        <v>348</v>
      </c>
      <c r="G92" s="9">
        <v>5</v>
      </c>
      <c r="H92" s="9">
        <v>5</v>
      </c>
      <c r="I92" s="10">
        <f t="shared" si="8"/>
        <v>5</v>
      </c>
      <c r="J92" s="7">
        <f t="shared" si="9"/>
        <v>2</v>
      </c>
      <c r="K92" s="7">
        <f t="shared" si="10"/>
        <v>0</v>
      </c>
      <c r="L92" s="7">
        <f t="shared" si="11"/>
        <v>1</v>
      </c>
      <c r="M92" s="9"/>
      <c r="N92" s="11"/>
    </row>
    <row r="93" spans="1:14" ht="28.3" x14ac:dyDescent="0.4">
      <c r="A93" s="7">
        <v>92</v>
      </c>
      <c r="B93" s="7" t="s">
        <v>349</v>
      </c>
      <c r="C93" s="7" t="s">
        <v>345</v>
      </c>
      <c r="D93" s="8" t="s">
        <v>346</v>
      </c>
      <c r="E93" s="8" t="s">
        <v>350</v>
      </c>
      <c r="F93" s="8" t="s">
        <v>351</v>
      </c>
      <c r="G93" s="9">
        <v>4</v>
      </c>
      <c r="H93" s="9">
        <v>3</v>
      </c>
      <c r="I93" s="10">
        <f t="shared" si="8"/>
        <v>3.5</v>
      </c>
      <c r="J93" s="7">
        <f t="shared" si="9"/>
        <v>2</v>
      </c>
      <c r="K93" s="7">
        <f t="shared" si="10"/>
        <v>1</v>
      </c>
      <c r="L93" s="7">
        <f t="shared" si="11"/>
        <v>38</v>
      </c>
      <c r="M93" s="9"/>
      <c r="N93" s="11"/>
    </row>
    <row r="94" spans="1:14" ht="28.3" x14ac:dyDescent="0.4">
      <c r="A94" s="7">
        <v>93</v>
      </c>
      <c r="B94" s="7" t="s">
        <v>352</v>
      </c>
      <c r="C94" s="7" t="s">
        <v>345</v>
      </c>
      <c r="D94" s="8" t="s">
        <v>346</v>
      </c>
      <c r="E94" s="8" t="s">
        <v>353</v>
      </c>
      <c r="F94" s="8" t="s">
        <v>354</v>
      </c>
      <c r="G94" s="9">
        <v>1</v>
      </c>
      <c r="H94" s="9">
        <v>3</v>
      </c>
      <c r="I94" s="10">
        <f t="shared" si="8"/>
        <v>2</v>
      </c>
      <c r="J94" s="7">
        <f t="shared" si="9"/>
        <v>2</v>
      </c>
      <c r="K94" s="7">
        <f t="shared" si="10"/>
        <v>2</v>
      </c>
      <c r="L94" s="7">
        <f t="shared" si="11"/>
        <v>86</v>
      </c>
      <c r="M94" s="9"/>
      <c r="N94" s="12" t="s">
        <v>381</v>
      </c>
    </row>
    <row r="95" spans="1:14" ht="28.3" x14ac:dyDescent="0.4">
      <c r="A95" s="7">
        <v>94</v>
      </c>
      <c r="B95" s="7" t="s">
        <v>355</v>
      </c>
      <c r="C95" s="7" t="s">
        <v>345</v>
      </c>
      <c r="D95" s="8" t="s">
        <v>346</v>
      </c>
      <c r="E95" s="8" t="s">
        <v>356</v>
      </c>
      <c r="F95" s="8" t="s">
        <v>357</v>
      </c>
      <c r="G95" s="9">
        <v>3</v>
      </c>
      <c r="H95" s="9">
        <v>3</v>
      </c>
      <c r="I95" s="10">
        <f t="shared" si="8"/>
        <v>3</v>
      </c>
      <c r="J95" s="7">
        <f t="shared" si="9"/>
        <v>2</v>
      </c>
      <c r="K95" s="7">
        <f t="shared" si="10"/>
        <v>0</v>
      </c>
      <c r="L95" s="7">
        <f t="shared" si="11"/>
        <v>56</v>
      </c>
      <c r="M95" s="9"/>
      <c r="N95" s="11"/>
    </row>
    <row r="96" spans="1:14" ht="28.3" x14ac:dyDescent="0.4">
      <c r="A96" s="7">
        <v>95</v>
      </c>
      <c r="B96" s="7" t="s">
        <v>358</v>
      </c>
      <c r="C96" s="7" t="s">
        <v>345</v>
      </c>
      <c r="D96" s="8" t="s">
        <v>346</v>
      </c>
      <c r="E96" s="8" t="s">
        <v>359</v>
      </c>
      <c r="F96" s="8" t="s">
        <v>360</v>
      </c>
      <c r="G96" s="9">
        <v>4</v>
      </c>
      <c r="H96" s="9">
        <v>4</v>
      </c>
      <c r="I96" s="10">
        <f t="shared" si="8"/>
        <v>4</v>
      </c>
      <c r="J96" s="7">
        <f t="shared" si="9"/>
        <v>2</v>
      </c>
      <c r="K96" s="7">
        <f t="shared" si="10"/>
        <v>0</v>
      </c>
      <c r="L96" s="7">
        <f t="shared" si="11"/>
        <v>23</v>
      </c>
      <c r="M96" s="9"/>
      <c r="N96" s="11"/>
    </row>
    <row r="97" spans="1:14" ht="28.3" x14ac:dyDescent="0.4">
      <c r="A97" s="7">
        <v>96</v>
      </c>
      <c r="B97" s="7" t="s">
        <v>361</v>
      </c>
      <c r="C97" s="7" t="s">
        <v>362</v>
      </c>
      <c r="D97" s="8" t="s">
        <v>363</v>
      </c>
      <c r="E97" s="8" t="s">
        <v>364</v>
      </c>
      <c r="F97" s="8" t="s">
        <v>365</v>
      </c>
      <c r="G97" s="9">
        <v>5</v>
      </c>
      <c r="H97" s="9">
        <v>4</v>
      </c>
      <c r="I97" s="10">
        <f t="shared" si="8"/>
        <v>4.5</v>
      </c>
      <c r="J97" s="7">
        <f t="shared" si="9"/>
        <v>2</v>
      </c>
      <c r="K97" s="7">
        <f t="shared" si="10"/>
        <v>1</v>
      </c>
      <c r="L97" s="7">
        <f t="shared" si="11"/>
        <v>10</v>
      </c>
      <c r="M97" s="9"/>
      <c r="N97" s="11"/>
    </row>
    <row r="98" spans="1:14" ht="28.3" x14ac:dyDescent="0.4">
      <c r="A98" s="7">
        <v>97</v>
      </c>
      <c r="B98" s="7" t="s">
        <v>366</v>
      </c>
      <c r="C98" s="7" t="s">
        <v>362</v>
      </c>
      <c r="D98" s="8" t="s">
        <v>363</v>
      </c>
      <c r="E98" s="8" t="s">
        <v>367</v>
      </c>
      <c r="F98" s="8" t="s">
        <v>368</v>
      </c>
      <c r="G98" s="9">
        <v>2</v>
      </c>
      <c r="H98" s="9">
        <v>3</v>
      </c>
      <c r="I98" s="10">
        <f t="shared" ref="I98:I129" si="12">IF(COUNT(G98:H98)=0,"",ROUND(AVERAGE(G98:H98),2))</f>
        <v>2.5</v>
      </c>
      <c r="J98" s="7">
        <f t="shared" si="9"/>
        <v>2</v>
      </c>
      <c r="K98" s="7">
        <f t="shared" si="10"/>
        <v>1</v>
      </c>
      <c r="L98" s="7">
        <f t="shared" si="11"/>
        <v>69</v>
      </c>
      <c r="M98" s="9"/>
      <c r="N98" s="11"/>
    </row>
    <row r="99" spans="1:14" ht="28.3" x14ac:dyDescent="0.4">
      <c r="A99" s="7">
        <v>98</v>
      </c>
      <c r="B99" s="7" t="s">
        <v>369</v>
      </c>
      <c r="C99" s="7" t="s">
        <v>362</v>
      </c>
      <c r="D99" s="8" t="s">
        <v>363</v>
      </c>
      <c r="E99" s="8" t="s">
        <v>370</v>
      </c>
      <c r="F99" s="8" t="s">
        <v>371</v>
      </c>
      <c r="G99" s="9">
        <v>4</v>
      </c>
      <c r="H99" s="9">
        <v>4</v>
      </c>
      <c r="I99" s="10">
        <f t="shared" si="12"/>
        <v>4</v>
      </c>
      <c r="J99" s="7">
        <f t="shared" si="9"/>
        <v>2</v>
      </c>
      <c r="K99" s="7">
        <f t="shared" si="10"/>
        <v>0</v>
      </c>
      <c r="L99" s="7">
        <f t="shared" si="11"/>
        <v>23</v>
      </c>
      <c r="M99" s="9"/>
      <c r="N99" s="11"/>
    </row>
    <row r="100" spans="1:14" ht="28.3" x14ac:dyDescent="0.4">
      <c r="A100" s="7">
        <v>99</v>
      </c>
      <c r="B100" s="7" t="s">
        <v>372</v>
      </c>
      <c r="C100" s="7" t="s">
        <v>362</v>
      </c>
      <c r="D100" s="8" t="s">
        <v>363</v>
      </c>
      <c r="E100" s="8" t="s">
        <v>373</v>
      </c>
      <c r="F100" s="8" t="s">
        <v>374</v>
      </c>
      <c r="G100" s="9">
        <v>2</v>
      </c>
      <c r="H100" s="9">
        <v>2</v>
      </c>
      <c r="I100" s="10">
        <f t="shared" si="12"/>
        <v>2</v>
      </c>
      <c r="J100" s="7">
        <f t="shared" si="9"/>
        <v>2</v>
      </c>
      <c r="K100" s="7">
        <f t="shared" si="10"/>
        <v>0</v>
      </c>
      <c r="L100" s="7">
        <f t="shared" si="11"/>
        <v>86</v>
      </c>
      <c r="M100" s="9"/>
      <c r="N100" s="11"/>
    </row>
    <row r="101" spans="1:14" ht="28.3" x14ac:dyDescent="0.4">
      <c r="A101" s="7">
        <v>100</v>
      </c>
      <c r="B101" s="7" t="s">
        <v>375</v>
      </c>
      <c r="C101" s="7" t="s">
        <v>362</v>
      </c>
      <c r="D101" s="8" t="s">
        <v>363</v>
      </c>
      <c r="E101" s="8" t="s">
        <v>376</v>
      </c>
      <c r="F101" s="8" t="s">
        <v>377</v>
      </c>
      <c r="G101" s="9">
        <v>2</v>
      </c>
      <c r="H101" s="9">
        <v>1</v>
      </c>
      <c r="I101" s="10">
        <f t="shared" si="12"/>
        <v>1.5</v>
      </c>
      <c r="J101" s="7">
        <f t="shared" si="9"/>
        <v>2</v>
      </c>
      <c r="K101" s="7">
        <f t="shared" si="10"/>
        <v>1</v>
      </c>
      <c r="L101" s="7">
        <f t="shared" si="11"/>
        <v>96</v>
      </c>
      <c r="M101" s="9"/>
      <c r="N101" s="11"/>
    </row>
  </sheetData>
  <autoFilter ref="A1:N101" xr:uid="{00000000-0009-0000-0000-000001000000}"/>
  <phoneticPr fontId="6" type="noConversion"/>
  <conditionalFormatting sqref="I2:I101">
    <cfRule type="colorScale" priority="2">
      <colorScale>
        <cfvo type="num" val="1"/>
        <cfvo type="num" val="3"/>
        <cfvo type="num" val="5"/>
        <color rgb="FFF8696B"/>
        <color rgb="FFFFEB84"/>
        <color rgb="FF63BE7B"/>
      </colorScale>
    </cfRule>
  </conditionalFormatting>
  <conditionalFormatting sqref="K2:K101">
    <cfRule type="expression" dxfId="0" priority="3">
      <formula>AND(ISNUMBER($K2),$K2&gt;=2)</formula>
    </cfRule>
  </conditionalFormatting>
  <dataValidations count="1">
    <dataValidation type="whole" allowBlank="1" showErrorMessage="1" errorTitle="Rating 1-5" error="Enter a whole number from 1 to 5." sqref="G2:H101" xr:uid="{00000000-0002-0000-0100-000000000000}">
      <formula1>1</formula1>
      <formula2>5</formula2>
    </dataValidation>
  </dataValidations>
  <pageMargins left="0.75" right="0.75" top="1" bottom="1" header="0.511811023622047" footer="0.511811023622047"/>
  <pageSetup fitToHeight="0" orientation="landscape"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How to rate</vt:lpstr>
      <vt:lpstr>EGR304-feature-ratings-ballot</vt:lpstr>
      <vt:lpstr>'EGR304-feature-ratings-ballot'!Print_Titles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Zice Sun</cp:lastModifiedBy>
  <cp:revision>0</cp:revision>
  <dcterms:created xsi:type="dcterms:W3CDTF">2026-09-26T05:25:17Z</dcterms:created>
  <dcterms:modified xsi:type="dcterms:W3CDTF">2026-09-26T05:49:57Z</dcterms:modified>
  <dc:language>en-US</dc:language>
</cp:coreProperties>
</file>